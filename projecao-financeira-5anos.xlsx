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missas" sheetId="2" state="visible" r:id="rId4"/>
    <sheet name="Pessimista" sheetId="3" state="visible" r:id="rId5"/>
    <sheet name="Realista" sheetId="4" state="visible" r:id="rId6"/>
    <sheet name="Otimista" sheetId="5" state="visible" r:id="rId7"/>
    <sheet name="Resumo Anual" sheetId="6" state="visible" r:id="rId8"/>
    <sheet name="Comissionamento" sheetId="7" state="visible" r:id="rId9"/>
    <sheet name="Sugestões de Cresciment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<sst xmlns="http://schemas.openxmlformats.org/spreadsheetml/2006/main" count="511" uniqueCount="236">
  <si>
    <t xml:space="preserve">Projeção Financeira 5 Anos — Neural Day Trader</t>
  </si>
  <si>
    <t xml:space="preserve">Reconstruída em 2026-08-10 a partir dos preços REAIS da landing page. Não existia arquivo rastreável anterior no repositório — a versão citada em PLANEJAMENTO-LANCAMENTO-NEURAL-DAY-TRADER.md era só um resumo em texto de uma sessão de planejamento (11/07/2026), nunca uma planilha auditável.</t>
  </si>
  <si>
    <t xml:space="preserve">Como usar</t>
  </si>
  <si>
    <t xml:space="preserve">Células em AZUL são premissas editáveis — mude-as na aba 'Premissas' e todo o resto recalcula.</t>
  </si>
  <si>
    <t xml:space="preserve">Células em PRETO são fórmulas — não editar diretamente, elas recalculam sozinhas.</t>
  </si>
  <si>
    <t xml:space="preserve">Células em VERDE são links pra outra aba (ex: Resumo Anual puxando das abas de cenário).</t>
  </si>
  <si>
    <t xml:space="preserve">Fundo AMARELO marca a premissa mais sensível de cada bloco — a que mais muda o resultado se você testar cenários.</t>
  </si>
  <si>
    <t xml:space="preserve">Estrutura do arquivo</t>
  </si>
  <si>
    <t xml:space="preserve">• Premissas — todos os inputs dos 3 cenários lado a lado, com a fonte/base de cada número.</t>
  </si>
  <si>
    <t xml:space="preserve">• Pessimista / Realista / Otimista — modelo mês a mês (mês 0 a mês 60 = 5 anos completos), 100% fórmula.</t>
  </si>
  <si>
    <t xml:space="preserve">• Resumo Anual — os 3 cenários consolidados por Ano 1..5, lado a lado, pra comparação rápida.</t>
  </si>
  <si>
    <t xml:space="preserve">• Comissionamento — proposta de modelo de comissão realinhada com prática de mercado (ver pergunta do Cleber).</t>
  </si>
  <si>
    <t xml:space="preserve">• Sugestões de Crescimento — alavancas concretas discutidas pra crescimento exponencial e lucro.</t>
  </si>
  <si>
    <t xml:space="preserve">O que é MEDIDO vs. o que é PREMISSA (regra do projeto: nunca fabricar dado como se fosse real)</t>
  </si>
  <si>
    <t xml:space="preserve">MEDIDO — fato, não estimativa: os 4 preços de mensalidade (Starter R$0, Pro R$199, Institutional R$399, Syndicate sob medida) vêm direto de src/app/components/landing/translations.ts:106-132, o código que roda na landing page hoje. Não há preço público do Syndicate Core — não entra como receita recorrente no modelo, só é citado como oportunidade B2B avulsa na aba de sugestões.</t>
  </si>
  <si>
    <t xml:space="preserve">PREMISSA — sem dado real ainda, produto não lançado publicamente: taxa de conversão Starter→Pago, churn mensal, crescimento de cadastros, lotes negociados por usuário, CAC, mix de tier. Todas em azul na aba Premissas, com a base de cada número (pesquisa anterior do projeto, benchmark público de mercado, ou julgamento explícito do modelo — nunca apresentadas como medidas).</t>
  </si>
  <si>
    <t xml:space="preserve">Recalcule sempre que os preços da landing mudarem — troque só a aba Premissas, linhas 1-2.</t>
  </si>
  <si>
    <t xml:space="preserve">Recalcule sempre que houver dado real de conversão/churn dos primeiros usuários pagantes — substitua a premissa por medição real assim que existir (mesma disciplina do resto do projeto: CostModel.ts recalibra assim que há execução real medida).</t>
  </si>
  <si>
    <t xml:space="preserve">Premissas do Modelo Financeiro — 3 Cenários</t>
  </si>
  <si>
    <t xml:space="preserve">Premissa</t>
  </si>
  <si>
    <t xml:space="preserve">Pessimista</t>
  </si>
  <si>
    <t xml:space="preserve">Realista</t>
  </si>
  <si>
    <t xml:space="preserve">Otimista</t>
  </si>
  <si>
    <t xml:space="preserve">Fonte / base do número</t>
  </si>
  <si>
    <t xml:space="preserve">── PREÇOS (medidos — landing page) ──</t>
  </si>
  <si>
    <t xml:space="preserve">Preço mensalidade Node: Pro (R$/mês)</t>
  </si>
  <si>
    <t xml:space="preserve">MEDIDO. translations.ts:114 — 'Node: Pro', price: 'R$199,00'. Igual nos 3 cenários (preço da landing não varia por cenário de crescimento).</t>
  </si>
  <si>
    <t xml:space="preserve">Preço mensalidade Node: Institutional (R$/mês)</t>
  </si>
  <si>
    <t xml:space="preserve">MEDIDO. translations.ts:121 — 'Node: Institutional', price: 'R$399,00'.</t>
  </si>
  <si>
    <t xml:space="preserve">── FUNIL (premissa — sem dado real, produto não lançado) ──</t>
  </si>
  <si>
    <t xml:space="preserve">Novos cadastros Starter no mês 1 (qtd)</t>
  </si>
  <si>
    <t xml:space="preserve">PREMISSA. Ordem de grandeza herdada do plano de 11/07 (5-25 pess / 10-80 real / 25-200 otim novos usuários/mês), mas agora como TOPO de funil (cadastro grátis), não usuário pagante direto.</t>
  </si>
  <si>
    <t xml:space="preserve">Crescimento mensal de novos cadastros (%)</t>
  </si>
  <si>
    <t xml:space="preserve">PREMISSA — decisão de modelagem p/ atender pedido de 'crescimento exponencial': crescimento composto mês a mês em vez do ritmo linear do plano de 11/07. 2%/mês pessimista a 8%/mês otimista são faixas típicas de SaaS em tração inicial via marketing de performance + comunidade — não é medição, é meta de modelagem.</t>
  </si>
  <si>
    <t xml:space="preserve">Teto de novos cadastros/mês — saturação de mercado (qtd)</t>
  </si>
  <si>
    <t xml:space="preserve">⚠️ CORREÇÃO — sem este teto, 8%/mês composto por 60 meses (Otimista) gerava &gt;15.000 novos cadastros NO ÚLTIMO MÊS sozinho e R$217 milhões de faturamento em 5 anos — matematicamente correto, mas fora de qualquer mercado real pro nicho (trading de varejo automatizado no Brasil). PREMISSA de bom senso, não medição: ordem de grandeza de TAM plausível pro nicho, crescimento composto se aplica só até bater o teto, depois estabiliza. Recalibrar assim que houver dado real de mercado endereçável (tamanho da base de traders de varejo ativos no Brasil que operam MT5/CFD).</t>
  </si>
  <si>
    <t xml:space="preserve">Taxa de conversão Starter → Pago (%, defasagem de 2 meses)</t>
  </si>
  <si>
    <t xml:space="preserve">PREMISSA. Benchmark de mercado p/ SaaS freemium com valor demonstrável rápido costuma ficar 2-5% (free→paid); usamos o topo dessa faixa no realista (6%) por o Starter já entregar sinal validado de verdade, não é 'feature capada' — mas isto é julgamento, não medição.</t>
  </si>
  <si>
    <t xml:space="preserve">Mix Pro entre novos pagantes (%) [resto vai pra Institutional]</t>
  </si>
  <si>
    <t xml:space="preserve">PREMISSA. Reaproveita o mix Pro/Institutional já usado na correção de 2026-08-10 do plano de 11/07 (PLANEJAMENTO-LANCAMENTO-NEURAL-DAY-TRADER.md §3.1) — Institutional tem selo 'Recommended' na landing, então a fração de Institutional cresce nos cenários mais otimistas de captação qualificada.</t>
  </si>
  <si>
    <t xml:space="preserve">Churn mensal Node: Starter — abandono do cadastro grátis (%)</t>
  </si>
  <si>
    <t xml:space="preserve">PREMISSA. Free tier tem churn/abandono normalmente mais alto que tier pago (sem fricção de cancelamento, sem sunk cost) — faixa 9-15%/mês é conservadora pro setor de ferramentas de trading.</t>
  </si>
  <si>
    <t xml:space="preserve">Churn mensal Pago (Pro + Institutional) (%)</t>
  </si>
  <si>
    <t xml:space="preserve">PREMISSA. Plano de 11/07 já assumia 8%/6%/4% pess/real/otim (mesma linha, mantida) — nota do próprio plano: 'pessimista honesto seria 12-15%/mês' pro varejo de trading em geral; mantemos a faixa original por ainda não termos dado de retenção real do produto pago.</t>
  </si>
  <si>
    <t xml:space="preserve">── VOLUME DE OPERAÇÃO (premissa) ──</t>
  </si>
  <si>
    <t xml:space="preserve">Lotes negociados/mês por usuário Pago</t>
  </si>
  <si>
    <t xml:space="preserve">PREMISSA. Sem dado de execução real ainda (o runner 24/7 está em telemetria, 0 trades reais até 08-10 — ver NEXT_SESSION.md). Ordem de grandeza de um trader ativo de varejo intraday/swing operando com disciplina (poucos lotes, não overtrading) — deliberadamente conservador.</t>
  </si>
  <si>
    <t xml:space="preserve">Lotes negociados/mês por usuário Starter (execução manual)</t>
  </si>
  <si>
    <t xml:space="preserve">PREMISSA. Starter só tem execução MANUAL guiada por alerta (translations.ts:110) — volume bem menor que os tiers com automação (Pro/Institutional).</t>
  </si>
  <si>
    <t xml:space="preserve">── COMISSÃO E REBATE (ver aba 'Comissionamento' p/ a proposta completa) ──</t>
  </si>
  <si>
    <t xml:space="preserve">Comissão própria por lote — cobrada em TODOS os tiers (R$)</t>
  </si>
  <si>
    <t xml:space="preserve">DECISÃO DE MODELO realinhada com mercado — ver aba Comissionamento. Cobrada sobre todo o volume operado, Starter + Pro + Institutional (correção de 2026-08-10: decisão explícita do Cleber, modelo anterior desta sessão diferenciava por tier — revertido). R$30/lote ≈ US$6/lote (câmbio ~R$5,05), mesmo benchmark do plano de 11/07 (15-20% abaixo da Infinox ECN US$7-7,50/lote). Igual nos 3 cenários — é política de preço, não projeção. Empilha sobre o rebate IB (que também é cobrado em cima do mesmo volume, pago pela corretora) — ver aba Comissionamento pro alerta de custo total do trader.</t>
  </si>
  <si>
    <t xml:space="preserve">Rebate IB por lote — já convertido em R$ (R$/lote)</t>
  </si>
  <si>
    <t xml:space="preserve">PREMISSA ancorada em research anterior do projeto (PLANEJAMENTO-LANCAMENTO §3: rebate IB US$4/6/8 por lote, INFINOX Partners paga até US$20/lote) convertido a ~R$5,05/US$1 com folga de câmbio — ver aba Comissionamento pra racional completo e fontes.</t>
  </si>
  <si>
    <t xml:space="preserve">Receita marketplace líquida por usuário Pago/mês (R$)</t>
  </si>
  <si>
    <t xml:space="preserve">PREMISSA. Mesma base do plano de 11/07 (US$0,50-2,00 líquido/usuário/mês, MQL5 retém ~25%), convertida a R$ e só aplicada sobre usuários pagantes (Starter não tem acesso ao catálogo completo — translations.ts:110 vs 124).</t>
  </si>
  <si>
    <t xml:space="preserve">── CUSTOS (premissa/orçamento) ──</t>
  </si>
  <si>
    <t xml:space="preserve">CAC — custo de aquisição por novo cadastro (R$)</t>
  </si>
  <si>
    <t xml:space="preserve">PREMISSA. Plano de 11/07 §4 furo #2 já alertava 'aquisição em trading de varejo custa R$100-400/usuário' sem incorporar ao modelo — aqui incorporado explicitamente, aplicado sobre CADASTROS (topo de funil), não só pagantes, porque o CAC é pago no clique/lead, converta ou não.</t>
  </si>
  <si>
    <t xml:space="preserve">Custo de infraestrutura por usuário ativo total/mês (R$)</t>
  </si>
  <si>
    <t xml:space="preserve">MEDIDO/citado no próprio plano (§1: 'cada usuário custa R$25-30/mês de API') — usamos o ponto médio da faixa já registrada, igual nos 3 cenários (custo de API não muda com o cenário de crescimento, só o volume de usuários muda).</t>
  </si>
  <si>
    <t xml:space="preserve">Pagantes por funcionário adicional (degrau de equipe)</t>
  </si>
  <si>
    <t xml:space="preserve">PREMISSA. Plano de 11/07 §4 furo #2: '~1 pessoa por 300-500 usuários'. Otimista contrata mais cedo (300) por precisar de suporte/onboarding de conta dedicada do tier Institutional; pessimista estica o degrau (500) pra conter custo.</t>
  </si>
  <si>
    <t xml:space="preserve">Custo mensal por funcionário (R$, CLT completo)</t>
  </si>
  <si>
    <t xml:space="preserve">PREMISSA — salário + encargos de um perfil suporte/CS júnior-pleno em SP, não pesquisado neste modelo (igual nos 3 cenários). Recalibrar com RH real antes de contratar.</t>
  </si>
  <si>
    <t xml:space="preserve">Custos fixos administrativos mensais (R$) — contador, ferramentas, jurídico recorrente</t>
  </si>
  <si>
    <t xml:space="preserve">PREMISSA ancorada no plano de 11/07 §1: 'Jurídico/contador R$3.000-6.000/ano recorrente' + parte do bloco de Segurança recorrente (R$0-1.200) — convertido a base mensal e escalado levemente por cenário (mais operação = mais ferramentas pagas).</t>
  </si>
  <si>
    <t xml:space="preserve">Alíquota efetiva de imposto sobre faturamento — Simples Nacional (%)</t>
  </si>
  <si>
    <t xml:space="preserve">PREMISSA ancorada no plano de 11/07 §4 furo #1: 'Simples ~6-15,5% do faturamento' — usamos o ponto baixo da faixa pro cenário de menor faturamento (Simples é progressivo por faixa de receita) e o ponto alto pro cenário de maior faturamento.</t>
  </si>
  <si>
    <t xml:space="preserve">Investimento inicial de lançamento (R$, saída no Mês 0)</t>
  </si>
  <si>
    <t xml:space="preserve">MEDIDO/citado no plano de 11/07 §1: 'Cenário enxuto (piloto controlado): ~R$21 mil'. Igual nos 3 cenários — o custo de lançar não muda com o cenário de tração pós-lançamento.</t>
  </si>
  <si>
    <t xml:space="preserve">Cenário Pessimista — Projeção Mês a Mês (Lançamento + 60 meses = 5 anos)</t>
  </si>
  <si>
    <t xml:space="preserve">Todas as células desta aba são fórmula. Premissas (azul) ficam só na aba 'Premissas'.</t>
  </si>
  <si>
    <t xml:space="preserve">Métrica</t>
  </si>
  <si>
    <t xml:space="preserve">Unid.</t>
  </si>
  <si>
    <t xml:space="preserve">Lança-
mento</t>
  </si>
  <si>
    <t xml:space="preserve">Ano 1</t>
  </si>
  <si>
    <t xml:space="preserve">Ano 2</t>
  </si>
  <si>
    <t xml:space="preserve">Ano 3</t>
  </si>
  <si>
    <t xml:space="preserve">Ano 4</t>
  </si>
  <si>
    <t xml:space="preserve">Ano 5</t>
  </si>
  <si>
    <t xml:space="preserve">── FUNIL DE USUÁRIOS ──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</si>
  <si>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</si>
  <si>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</si>
  <si>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</si>
  <si>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</si>
  <si>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</si>
  <si>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</si>
  <si>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</si>
  <si>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</si>
  <si>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</si>
  <si>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</si>
  <si>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</si>
  <si>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</si>
  <si>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</si>
  <si>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</si>
  <si>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</si>
  <si>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</si>
  <si>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</si>
  <si>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</si>
  <si>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</si>
  <si>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</si>
  <si>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</si>
  <si>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</si>
  <si>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</si>
  <si>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</si>
  <si>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</si>
  <si>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</si>
  <si>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</si>
  <si>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</si>
  <si>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</si>
  <si>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</si>
  <si>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</si>
  <si>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</si>
  <si>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</si>
  <si>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</si>
  <si>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</si>
  <si>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</si>
  <si>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</si>
  <si>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</si>
  <si>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</si>
  <si>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</si>
  <si>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</si>
  <si>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</si>
  <si>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</si>
  <si>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</si>
  <si>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</si>
  <si>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</si>
  <si>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</si>
  <si>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</si>
  <si>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</si>
  <si>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</si>
  <si>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</si>
  <si>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</si>
  <si>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</si>
  <si>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</si>
  <si>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</si>
  <si>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</si>
  <si>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</si>
  <si>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</si>
  <si>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</si>
  <si>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</si>
  <si>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</si>
  <si>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Novos cadastros Node: Starter (qtd)</t>
  </si>
  <si>
    <t xml:space="preserve">qtd</t>
  </si>
  <si>
    <t xml:space="preserve">Convertidos Starter → Pago no mês (qtd)</t>
  </si>
  <si>
    <t xml:space="preserve">Node: Starter ativos (qtd)</t>
  </si>
  <si>
    <t xml:space="preserve">Novos pagantes Node: Pro no mês (qtd)</t>
  </si>
  <si>
    <t xml:space="preserve">Novos pagantes Node: Institutional no mês (qtd)</t>
  </si>
  <si>
    <t xml:space="preserve">Node: Pro ativos (qtd)</t>
  </si>
  <si>
    <t xml:space="preserve">Node: Institutional ativos (qtd)</t>
  </si>
  <si>
    <t xml:space="preserve">Total pagantes ativos — Pro + Institutional (qtd)</t>
  </si>
  <si>
    <t xml:space="preserve">Total usuários ativos — Starter + pagantes (qtd)</t>
  </si>
  <si>
    <t xml:space="preserve">── RECEITA ──</t>
  </si>
  <si>
    <t xml:space="preserve">Receita mensalidade Node: Pro (R$)</t>
  </si>
  <si>
    <t xml:space="preserve">R$</t>
  </si>
  <si>
    <t xml:space="preserve">Receita mensalidade Node: Institutional (R$)</t>
  </si>
  <si>
    <t xml:space="preserve">Lotes negociados no mês — Pro+Institutional (lotes)</t>
  </si>
  <si>
    <t xml:space="preserve">lotes</t>
  </si>
  <si>
    <t xml:space="preserve">Lotes negociados no mês — Starter (lotes)</t>
  </si>
  <si>
    <t xml:space="preserve">Receita comissão própria — só sobre volume Starter (R$)</t>
  </si>
  <si>
    <t xml:space="preserve">Receita rebate IB — sobre todo o volume (R$)</t>
  </si>
  <si>
    <t xml:space="preserve">Receita marketplace (R$)</t>
  </si>
  <si>
    <t xml:space="preserve">RECEITA TOTAL (R$)</t>
  </si>
  <si>
    <t xml:space="preserve">── CUSTOS ──</t>
  </si>
  <si>
    <t xml:space="preserve">Custo de infraestrutura variável (R$)</t>
  </si>
  <si>
    <t xml:space="preserve">Custo de equipe (R$)</t>
  </si>
  <si>
    <t xml:space="preserve">CAC do mês — aquisição de novos cadastros (R$)</t>
  </si>
  <si>
    <t xml:space="preserve">Custos fixos administrativos (R$)</t>
  </si>
  <si>
    <t xml:space="preserve">Impostos — Simples Nacional (R$)</t>
  </si>
  <si>
    <t xml:space="preserve">DESPESAS TOTAIS (R$)</t>
  </si>
  <si>
    <t xml:space="preserve">── RESULTADO ──</t>
  </si>
  <si>
    <t xml:space="preserve">LUCRO LÍQUIDO DO MÊS (R$)</t>
  </si>
  <si>
    <t xml:space="preserve">CAIXA ACUMULADO (R$)</t>
  </si>
  <si>
    <t xml:space="preserve">Cenário Realista — Projeção Mês a Mês (Lançamento + 60 meses = 5 anos)</t>
  </si>
  <si>
    <t xml:space="preserve">Cenário Otimista — Projeção Mês a Mês (Lançamento + 60 meses = 5 anos)</t>
  </si>
  <si>
    <t xml:space="preserve">Resumo Anual — Ano 1 a Ano 5, os 3 cenários lado a lado</t>
  </si>
  <si>
    <t xml:space="preserve">Pessimista
Ano 1</t>
  </si>
  <si>
    <t xml:space="preserve">Pessimista
Ano 2</t>
  </si>
  <si>
    <t xml:space="preserve">Pessimista
Ano 3</t>
  </si>
  <si>
    <t xml:space="preserve">Pessimista
Ano 4</t>
  </si>
  <si>
    <t xml:space="preserve">Pessimista
Ano 5</t>
  </si>
  <si>
    <t xml:space="preserve">Realista
Ano 1</t>
  </si>
  <si>
    <t xml:space="preserve">Realista
Ano 2</t>
  </si>
  <si>
    <t xml:space="preserve">Realista
Ano 3</t>
  </si>
  <si>
    <t xml:space="preserve">Realista
Ano 4</t>
  </si>
  <si>
    <t xml:space="preserve">Realista
Ano 5</t>
  </si>
  <si>
    <t xml:space="preserve">Otimista
Ano 1</t>
  </si>
  <si>
    <t xml:space="preserve">Otimista
Ano 2</t>
  </si>
  <si>
    <t xml:space="preserve">Otimista
Ano 3</t>
  </si>
  <si>
    <t xml:space="preserve">Otimista
Ano 4</t>
  </si>
  <si>
    <t xml:space="preserve">Otimista
Ano 5</t>
  </si>
  <si>
    <t xml:space="preserve">Novos cadastros Starter no ano (qtd)</t>
  </si>
  <si>
    <t xml:space="preserve">Pagantes ativos no fim do ano — Pro+Institutional (qtd)</t>
  </si>
  <si>
    <t xml:space="preserve">Usuários ativos no fim do ano — total (qtd)</t>
  </si>
  <si>
    <t xml:space="preserve">RECEITA TOTAL no ano (R$)</t>
  </si>
  <si>
    <t xml:space="preserve">DESPESAS TOTAIS no ano (R$)</t>
  </si>
  <si>
    <t xml:space="preserve">LUCRO LÍQUIDO do ano (R$)</t>
  </si>
  <si>
    <t xml:space="preserve">CAIXA ACUMULADO no fim do ano (R$)</t>
  </si>
  <si>
    <t xml:space="preserve">Comparativo — Total 5 anos (soma Ano1..Ano5 de faturamento/lucro; caixa e pagantes = fim do Ano 5)</t>
  </si>
  <si>
    <t xml:space="preserve">Faturamento total 5 anos (R$)</t>
  </si>
  <si>
    <t xml:space="preserve">Despesas totais 5 anos (R$)</t>
  </si>
  <si>
    <t xml:space="preserve">Lucro líquido total 5 anos (R$)</t>
  </si>
  <si>
    <t xml:space="preserve">Caixa acumulado — fim do Ano 5 (R$)</t>
  </si>
  <si>
    <t xml:space="preserve">Pagantes ativos — fim do Ano 5 (qtd)</t>
  </si>
  <si>
    <t xml:space="preserve">Usuários ativos totais — fim do Ano 5 (qtd)</t>
  </si>
  <si>
    <t xml:space="preserve">1º mês com lucro líquido positivo</t>
  </si>
  <si>
    <t xml:space="preserve">Modelo de Comissionamento — Proposta Realinhada com Prática de Mercado</t>
  </si>
  <si>
    <t xml:space="preserve">Decisão implementada neste modelo</t>
  </si>
  <si>
    <t xml:space="preserve">DECISÃO (2026-08-10): comissão própria da plataforma cobrada sobre TODO o volume operado — Node: Starter, Node: Pro e Node: Institutional, sem diferenciação por tier. Modelado na aba Premissas, linha 'Comissão própria por lote', mesmo valor nos 3 cenários (R$30/lote ≈ US$6/lote) por ser política de preço, não projeção de crescimento.</t>
  </si>
  <si>
    <t xml:space="preserve">Base de mercado do valor (US$6/lote)</t>
  </si>
  <si>
    <t xml:space="preserve">US$6/lote padrão (US$0,06 por 0,01 lote) — pesquisa original do plano de 11/07/2026 (PLANEJAMENTO-LANCAMENTO-NEURAL-DAY-TRADER.md §3), ancorada em comissões ECN cTrader (US$4-8/lote, fontes: ForexBrokers.com, FP Markets) e ~15-20% abaixo do que a Infinox cobra na própria conta ECN (US$7-7,50/lote). Isso é o valor que MERCADO pratica pra uma plataforma que intermedia execução — não é um número inventado.</t>
  </si>
  <si>
    <t xml:space="preserve">Rebate IB — a segunda fonte, invisível ao trader</t>
  </si>
  <si>
    <t xml:space="preserve">Rebate IB (Introducing Broker) é uma fonte SEPARADA de receita, paga pela CORRETORA — não pelo trader — sobre o mesmo volume. A Infinox Partners paga até US$20/lote de rebate IB, negociável por instrumento/volume. O modelo usa R$15/25/35 por lote (pess/real/otim), convertido de ~US$4/6/8, que é o intervalo TÍPICO de mercado pra parceiros novos sem volume negociado ainda — não o teto de US$20 (isso exigiria volume/negociação que a plataforma não tem no lançamento).</t>
  </si>
  <si>
    <t xml:space="preserve">⚠️ ALERTA que já existia no projeto — mantido de propósito, não removido</t>
  </si>
  <si>
    <t xml:space="preserve">Comissão própria (US$6/lote) + custo de execução na corretora (spread/comissão ECN, US$7-7,50/lote na Infinox) = custo empilhado de ~US$13/lote pro trader, quase 2x uma conta ECN pura sem intermediário. O plano de 11/07 já registrava esse alerta e recomendava ZERAR a comissão própria, vivendo só de mensalidade + rebate (que não tem essa fricção — quem paga é a corretora). A decisão desta sessão (cobrar em todos os tiers) reabre esse risco de propósito — registrado aqui pra ficar visível, não escondido.</t>
  </si>
  <si>
    <t xml:space="preserve">Recomendações de acompanhamento (não implementadas — decisão do Cleber)</t>
  </si>
  <si>
    <t xml:space="preserve">1) Monitorar churn de usuários de alto volume (heavy traders) especificamente — são os mais sensíveis a esse custo empilhado e os que mais geram receita por lote; perder esse segmento por causa da comissão própria custaria caro. 2) Testar a alternativa 'zerar comissão própria' trocando a célula da aba Premissas pra R$0 e comparando o Lucro Líquido Total 5 anos na aba Resumo Anual — a comissão própria é só ~13% da receita projetada no plano original (mensalidade 64-78%, rebate 8-19%), então o modelo é sensível o suficiente pra esse teste valer a pena antes do lançamento público. 3) Se mantida em todos os tiers, considerar comunicar isso claramente na landing/termos — cobrar comissão sem transparência é o tipo de prática que gera reclamação e atrito com CVM (ver PLANEJAMENTO-LANCAMENTO §6, riscos jurídicos já mapeados).</t>
  </si>
  <si>
    <t xml:space="preserve">Fontes</t>
  </si>
  <si>
    <t xml:space="preserve">Fontes já citadas no plano de 11/07, reaproveitadas aqui sem nova pesquisa: FBS Academy (rebates IB), CashbackForex e PaybackFX (rebates de mercado), ForexBrokers.com e FP Markets (comissões cTrader ECN), INFINOX Partners (programa IB oficial da corretora de referência do projeto).</t>
  </si>
  <si>
    <t xml:space="preserve">Sugestões para Crescimento Exponencial e Lucratividade</t>
  </si>
  <si>
    <t xml:space="preserve">Alavancas concretas — cada uma testável mudando uma célula azul na aba Premissas e olhando o impacto na aba Resumo Anual. Nenhuma delas foi incorporada como premissa numérica automática (a não ser que citado abaixo) — são recomendações pra decisão do Cleber.</t>
  </si>
  <si>
    <t xml:space="preserve">1) A alavanca #1 é a conversão Starter→Pago, não o preço</t>
  </si>
  <si>
    <t xml:space="preserve">O maior alavanca do modelo não é preço nem comissão — é a TAXA DE CONVERSÃO Starter→Pago (linha amarela da aba Premissas). Ela é a única premissa que multiplica TODAS as fontes de receita ao mesmo tempo (mensalidade, comissão, rebate, marketplace todas dependem de quantos pagantes existem). Teste: suba a conversão realista de 6% pra 9% na aba Premissas e compare o Lucro Líquido Total 5 anos — o efeito composto ao longo de 60 meses é maior que qualquer ajuste isolado de preço.</t>
  </si>
  <si>
    <t xml:space="preserve">2) Conversão orientada por gatilho de produto, não por tempo</t>
  </si>
  <si>
    <t xml:space="preserve">O modelo assume conversão em 2 meses e uma taxa única — na prática, ativação recorrente costuma vir de gatilhos: (a) o Starter recebe um sinal validado que teria sido lucrativo e não pôde agir automático (prompt nativo 'ative o Pro pra isso não acontecer de novo' no momento exato da dor); (b) sequência de erro de execução manual (o trader perdeu o timing) — mesmo gatilho; (c) e-mail/push depois de N dias de uso ativo do Starter (engajamento = sinal de prontidão pra pagar). Isso não muda a fórmula do modelo, muda a taxa de conversão real que ele deveria assumir — vale instrumentar esses gatilhos desde o dia 1 do lançamento pra medir, não estimar, a conversão real o quanto antes.</t>
  </si>
  <si>
    <t xml:space="preserve">3) Faturamento anual anexo (upsell de caixa, não modelado ainda)</t>
  </si>
  <si>
    <t xml:space="preserve">Institutional (R$399) tem o selo 'Recommended' na landing (translations.ts) mas o modelo assume mix conservador (55-90% Pro conforme cenário). Testar: campanha de billing anual com desconto (ex: R$399×12×0,83 ≈ R$3.970/ano, 'pague 10, leve 12') aumenta caixa antecipado (reduz o menor-caixa-do-período, um dos furos já mapeados no plano de 11/07) E reduz churn mensal medido (quem já pagou o ano não cancela por impulso). Não modelado nesta versão — precisa de uma linha nova de premissa '% de assinantes em plano anual' pra entrar na planilha.</t>
  </si>
  <si>
    <t xml:space="preserve">4) Syndicate Core como canal B2B separado — a real fonte de crescimento não-linear</t>
  </si>
  <si>
    <t xml:space="preserve">Syndicate Core (sob medida) não tem preço público e não entra na receita recorrente do modelo — mas é onde a curva pode virar de fato exponencial: 1 contrato de mesa proprietária/fundo pequeno vale potencialmente dezenas de assinaturas Institutional, com CAC quase zero (é decisão de negociação B2B, não tráfego pago) e sem o custo de servir milhares de usuários de varejo. Vale rastrear negociações Syndicate como uma linha separada de pipeline (fora da planilha de varejo) desde já, mesmo pré-lançamento — não force esse número dentro do modelo de varejo, ele tem uma dinâmica de venda completamente diferente (ciclo longo, ticket alto, poucos clientes).</t>
  </si>
  <si>
    <t xml:space="preserve">5) Reduzir CAC via comunidade/indicação em vez de só mídia paga</t>
  </si>
  <si>
    <t xml:space="preserve">CAC de aquisição paga em trading de varejo é caro (R$180-260/cadastro no modelo, já alto) e o setor tem churn естrutural alto (§4 furo #3 do plano de 11/07: 'vida média de 3-6 meses'). Canais de CAC baixo pro nicho: (a) comunidade de trading (Discord/Telegram) com conteúdo educacional gratuito — constrói confiança antes da conversão, historicamente CAC 3-5x menor que ads pagos nesse vertical; (b) programa de indicação entre usuários Pro/Institutional (cashback de 1 mês de mensalidade por indicado convertido) — CAC vira quase-zero e o indicador já é um usuário retido, reforça permanência; (c) parceria com educadores/influenciadores de trading que já têm audiência (revenue share ou CPA, não salário fixo) — reduz risco de CAC afundado se o canal não performar.</t>
  </si>
  <si>
    <t xml:space="preserve">6) Churn, não frequência de trade, é a alavanca que mais ameaça o modelo</t>
  </si>
  <si>
    <t xml:space="preserve">O maior risco financeiro do modelo NÃO é a IA operar pouco (isso já é político — ver CLAUDE.md, edge ≈ 0 medido, cérebro desenhado pra operar pouco de propósito) — é CHURN. Com churn mensal pago de 6% (realista), a vida média de um assinante é só ~16,7 meses (1/0,06); a 8% (pessimista) cai pra 12,5 meses. Cada ponto percentual de churn reduzido tem efeito composto maior que qualquer ganho de preço ou conversão — porque afeta a BASE INSTALADA inteira, não só os novos. Prioridade de produto pra sustentar isso: os alertas de risco e disciplina (o valor central do Pro/Institutional) precisam gerar resultado percebido cedo (primeiras 2-4 semanas) pro usuário não cancelar antes de sentir o benefício — isso é retenção, não aquisição, e o modelo mostra que vale investir ali primeiro.</t>
  </si>
  <si>
    <t xml:space="preserve">Nota de consistência com o resto do projeto</t>
  </si>
  <si>
    <t xml:space="preserve">Nada nesta aba assume que forçar mais entradas da IA aumenta receita — o projeto já mediu (CLAUDE.md, taxa base 2026-08-05) que edge ≈ 0 pra sinal técnico clássico, então mais trade = mais custo esperado pro usuário, não mais lucro pra ninguém. As alavancas de crescimento aqui são todas de PRODUTO/GTM (conversão, retenção, canal B2B, CAC), nunca de operar mais sem edge — isso mantém o modelo financeiro consistente com a disciplina técnica que o resto do projeto já adota.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</si>
</sst>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#,##0.00;\(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i val="true"/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C6E0B4"/>
      </patternFill>
    </fill>
    <fill>
      <patternFill patternType="solid">
        <fgColor rgb="FFC6E0B4"/>
        <bgColor rgb="FFBDD7EE"/>
      </patternFill>
    </fill>
    <fill>
      <patternFill patternType="solid">
        <fgColor rgb="FFBDD7E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</row>
    <row r="5" customFormat="false" ht="27.7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 t="s">
        <v>5</v>
      </c>
    </row>
    <row r="8" customFormat="false" ht="27.75" hidden="false" customHeight="true" outlineLevel="0" collapsed="false">
      <c r="A8" s="4" t="s">
        <v>6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4" t="s">
        <v>8</v>
      </c>
    </row>
    <row r="12" customFormat="false" ht="27.75" hidden="false" customHeight="true" outlineLevel="0" collapsed="false">
      <c r="A12" s="4" t="s">
        <v>9</v>
      </c>
    </row>
    <row r="13" customFormat="false" ht="27.75" hidden="false" customHeight="true" outlineLevel="0" collapsed="false">
      <c r="A13" s="4" t="s">
        <v>10</v>
      </c>
    </row>
    <row r="14" customFormat="false" ht="27.75" hidden="false" customHeight="true" outlineLevel="0" collapsed="false">
      <c r="A14" s="4" t="s">
        <v>11</v>
      </c>
    </row>
    <row r="15" customFormat="false" ht="27.75" hidden="false" customHeight="true" outlineLevel="0" collapsed="false">
      <c r="A15" s="4" t="s">
        <v>12</v>
      </c>
    </row>
    <row r="16" customFormat="false" ht="15" hidden="false" customHeight="true" outlineLevel="0" collapsed="false">
      <c r="A16" s="4"/>
    </row>
    <row r="17" customFormat="false" ht="27.75" hidden="false" customHeight="true" outlineLevel="0" collapsed="false">
      <c r="A17" s="3" t="s">
        <v>13</v>
      </c>
    </row>
    <row r="18" customFormat="false" ht="27.75" hidden="false" customHeight="true" outlineLevel="0" collapsed="false">
      <c r="A18" s="4" t="s">
        <v>14</v>
      </c>
    </row>
    <row r="19" customFormat="false" ht="27.75" hidden="false" customHeight="true" outlineLevel="0" collapsed="false">
      <c r="A19" s="4" t="s">
        <v>15</v>
      </c>
    </row>
    <row r="20" customFormat="false" ht="15" hidden="false" customHeight="true" outlineLevel="0" collapsed="false">
      <c r="A20" s="4"/>
    </row>
    <row r="21" customFormat="false" ht="15" hidden="false" customHeight="true" outlineLevel="0" collapsed="false">
      <c r="A21" s="3" t="s">
        <v>16</v>
      </c>
    </row>
    <row r="22" customFormat="false" ht="27.75" hidden="false" customHeight="tru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5" t="s">
        <v>18</v>
      </c>
      <c r="B1" s="5"/>
      <c r="C1" s="5"/>
      <c r="D1" s="5"/>
      <c r="E1" s="5"/>
    </row>
    <row r="3" customFormat="false" ht="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</row>
    <row r="4" customFormat="false" ht="15" hidden="false" customHeight="false" outlineLevel="0" collapsed="false">
      <c r="A4" s="7" t="s">
        <v>24</v>
      </c>
      <c r="B4" s="8"/>
      <c r="C4" s="8"/>
      <c r="D4" s="8"/>
      <c r="E4" s="8"/>
    </row>
    <row r="5" customFormat="false" ht="22.35" hidden="false" customHeight="false" outlineLevel="0" collapsed="false">
      <c r="A5" s="9" t="s">
        <v>25</v>
      </c>
      <c r="B5" s="10" t="n">
        <v>199</v>
      </c>
      <c r="C5" s="10" t="n">
        <v>199</v>
      </c>
      <c r="D5" s="10" t="n">
        <v>199</v>
      </c>
      <c r="E5" s="11" t="s">
        <v>26</v>
      </c>
    </row>
    <row r="6" customFormat="false" ht="15" hidden="false" customHeight="false" outlineLevel="0" collapsed="false">
      <c r="A6" s="9" t="s">
        <v>27</v>
      </c>
      <c r="B6" s="10" t="n">
        <v>399</v>
      </c>
      <c r="C6" s="10" t="n">
        <v>399</v>
      </c>
      <c r="D6" s="10" t="n">
        <v>399</v>
      </c>
      <c r="E6" s="11" t="s">
        <v>28</v>
      </c>
    </row>
    <row r="8" customFormat="false" ht="15" hidden="false" customHeight="false" outlineLevel="0" collapsed="false">
      <c r="A8" s="12" t="s">
        <v>29</v>
      </c>
      <c r="B8" s="8"/>
      <c r="C8" s="8"/>
      <c r="D8" s="8"/>
      <c r="E8" s="8"/>
    </row>
    <row r="9" customFormat="false" ht="32.8" hidden="false" customHeight="false" outlineLevel="0" collapsed="false">
      <c r="A9" s="9" t="s">
        <v>30</v>
      </c>
      <c r="B9" s="10" t="n">
        <v>40</v>
      </c>
      <c r="C9" s="10" t="n">
        <v>80</v>
      </c>
      <c r="D9" s="10" t="n">
        <v>150</v>
      </c>
      <c r="E9" s="11" t="s">
        <v>31</v>
      </c>
    </row>
    <row r="10" customFormat="false" ht="53.7" hidden="false" customHeight="false" outlineLevel="0" collapsed="false">
      <c r="A10" s="13" t="s">
        <v>32</v>
      </c>
      <c r="B10" s="14" t="n">
        <v>0.02</v>
      </c>
      <c r="C10" s="14" t="n">
        <v>0.045</v>
      </c>
      <c r="D10" s="14" t="n">
        <v>0.08</v>
      </c>
      <c r="E10" s="11" t="s">
        <v>33</v>
      </c>
    </row>
    <row r="11" customFormat="false" ht="85.05" hidden="false" customHeight="false" outlineLevel="0" collapsed="false">
      <c r="A11" s="13" t="s">
        <v>34</v>
      </c>
      <c r="B11" s="15" t="n">
        <v>350</v>
      </c>
      <c r="C11" s="15" t="n">
        <v>900</v>
      </c>
      <c r="D11" s="15" t="n">
        <v>2200</v>
      </c>
      <c r="E11" s="11" t="s">
        <v>35</v>
      </c>
    </row>
    <row r="12" customFormat="false" ht="43.25" hidden="false" customHeight="false" outlineLevel="0" collapsed="false">
      <c r="A12" s="13" t="s">
        <v>36</v>
      </c>
      <c r="B12" s="14" t="n">
        <v>0.03</v>
      </c>
      <c r="C12" s="14" t="n">
        <v>0.06</v>
      </c>
      <c r="D12" s="14" t="n">
        <v>0.11</v>
      </c>
      <c r="E12" s="11" t="s">
        <v>37</v>
      </c>
    </row>
    <row r="13" customFormat="false" ht="53.7" hidden="false" customHeight="false" outlineLevel="0" collapsed="false">
      <c r="A13" s="9" t="s">
        <v>38</v>
      </c>
      <c r="B13" s="16" t="n">
        <v>0.9</v>
      </c>
      <c r="C13" s="16" t="n">
        <v>0.75</v>
      </c>
      <c r="D13" s="16" t="n">
        <v>0.55</v>
      </c>
      <c r="E13" s="11" t="s">
        <v>39</v>
      </c>
    </row>
    <row r="14" customFormat="false" ht="32.8" hidden="false" customHeight="false" outlineLevel="0" collapsed="false">
      <c r="A14" s="9" t="s">
        <v>40</v>
      </c>
      <c r="B14" s="16" t="n">
        <v>0.15</v>
      </c>
      <c r="C14" s="16" t="n">
        <v>0.12</v>
      </c>
      <c r="D14" s="16" t="n">
        <v>0.09</v>
      </c>
      <c r="E14" s="11" t="s">
        <v>41</v>
      </c>
    </row>
    <row r="15" customFormat="false" ht="43.25" hidden="false" customHeight="false" outlineLevel="0" collapsed="false">
      <c r="A15" s="9" t="s">
        <v>42</v>
      </c>
      <c r="B15" s="16" t="n">
        <v>0.08</v>
      </c>
      <c r="C15" s="16" t="n">
        <v>0.06</v>
      </c>
      <c r="D15" s="16" t="n">
        <v>0.04</v>
      </c>
      <c r="E15" s="11" t="s">
        <v>43</v>
      </c>
    </row>
    <row r="17" customFormat="false" ht="15" hidden="false" customHeight="false" outlineLevel="0" collapsed="false">
      <c r="A17" s="12" t="s">
        <v>44</v>
      </c>
      <c r="B17" s="8"/>
      <c r="C17" s="8"/>
      <c r="D17" s="8"/>
      <c r="E17" s="8"/>
    </row>
    <row r="18" customFormat="false" ht="43.25" hidden="false" customHeight="false" outlineLevel="0" collapsed="false">
      <c r="A18" s="9" t="s">
        <v>45</v>
      </c>
      <c r="B18" s="17" t="n">
        <v>2.5</v>
      </c>
      <c r="C18" s="17" t="n">
        <v>5</v>
      </c>
      <c r="D18" s="17" t="n">
        <v>8.5</v>
      </c>
      <c r="E18" s="11" t="s">
        <v>46</v>
      </c>
    </row>
    <row r="19" customFormat="false" ht="32.8" hidden="false" customHeight="false" outlineLevel="0" collapsed="false">
      <c r="A19" s="9" t="s">
        <v>47</v>
      </c>
      <c r="B19" s="17" t="n">
        <v>0.3</v>
      </c>
      <c r="C19" s="17" t="n">
        <v>0.7</v>
      </c>
      <c r="D19" s="17" t="n">
        <v>1.2</v>
      </c>
      <c r="E19" s="11" t="s">
        <v>48</v>
      </c>
    </row>
    <row r="21" customFormat="false" ht="15" hidden="false" customHeight="false" outlineLevel="0" collapsed="false">
      <c r="A21" s="12" t="s">
        <v>49</v>
      </c>
      <c r="B21" s="8"/>
      <c r="C21" s="8"/>
      <c r="D21" s="8"/>
      <c r="E21" s="8"/>
    </row>
    <row r="22" customFormat="false" ht="85.05" hidden="false" customHeight="false" outlineLevel="0" collapsed="false">
      <c r="A22" s="13" t="s">
        <v>50</v>
      </c>
      <c r="B22" s="18" t="n">
        <v>30</v>
      </c>
      <c r="C22" s="18" t="n">
        <v>30</v>
      </c>
      <c r="D22" s="18" t="n">
        <v>30</v>
      </c>
      <c r="E22" s="11" t="s">
        <v>51</v>
      </c>
    </row>
    <row r="23" customFormat="false" ht="43.25" hidden="false" customHeight="false" outlineLevel="0" collapsed="false">
      <c r="A23" s="9" t="s">
        <v>52</v>
      </c>
      <c r="B23" s="17" t="n">
        <v>15</v>
      </c>
      <c r="C23" s="17" t="n">
        <v>25</v>
      </c>
      <c r="D23" s="17" t="n">
        <v>35</v>
      </c>
      <c r="E23" s="11" t="s">
        <v>53</v>
      </c>
    </row>
    <row r="24" customFormat="false" ht="43.25" hidden="false" customHeight="false" outlineLevel="0" collapsed="false">
      <c r="A24" s="9" t="s">
        <v>54</v>
      </c>
      <c r="B24" s="17" t="n">
        <v>3.5</v>
      </c>
      <c r="C24" s="17" t="n">
        <v>7.5</v>
      </c>
      <c r="D24" s="17" t="n">
        <v>13</v>
      </c>
      <c r="E24" s="11" t="s">
        <v>55</v>
      </c>
    </row>
    <row r="26" customFormat="false" ht="15" hidden="false" customHeight="false" outlineLevel="0" collapsed="false">
      <c r="A26" s="12" t="s">
        <v>56</v>
      </c>
      <c r="B26" s="8"/>
      <c r="C26" s="8"/>
      <c r="D26" s="8"/>
      <c r="E26" s="8"/>
    </row>
    <row r="27" customFormat="false" ht="43.25" hidden="false" customHeight="false" outlineLevel="0" collapsed="false">
      <c r="A27" s="13" t="s">
        <v>57</v>
      </c>
      <c r="B27" s="15" t="n">
        <v>180</v>
      </c>
      <c r="C27" s="15" t="n">
        <v>220</v>
      </c>
      <c r="D27" s="15" t="n">
        <v>260</v>
      </c>
      <c r="E27" s="11" t="s">
        <v>58</v>
      </c>
    </row>
    <row r="28" customFormat="false" ht="32.8" hidden="false" customHeight="false" outlineLevel="0" collapsed="false">
      <c r="A28" s="9" t="s">
        <v>59</v>
      </c>
      <c r="B28" s="17" t="n">
        <v>27</v>
      </c>
      <c r="C28" s="17" t="n">
        <v>27</v>
      </c>
      <c r="D28" s="17" t="n">
        <v>27</v>
      </c>
      <c r="E28" s="11" t="s">
        <v>60</v>
      </c>
    </row>
    <row r="29" customFormat="false" ht="32.8" hidden="false" customHeight="false" outlineLevel="0" collapsed="false">
      <c r="A29" s="9" t="s">
        <v>61</v>
      </c>
      <c r="B29" s="10" t="n">
        <v>500</v>
      </c>
      <c r="C29" s="10" t="n">
        <v>400</v>
      </c>
      <c r="D29" s="10" t="n">
        <v>300</v>
      </c>
      <c r="E29" s="11" t="s">
        <v>62</v>
      </c>
    </row>
    <row r="30" customFormat="false" ht="32.8" hidden="false" customHeight="false" outlineLevel="0" collapsed="false">
      <c r="A30" s="9" t="s">
        <v>63</v>
      </c>
      <c r="B30" s="10" t="n">
        <v>9000</v>
      </c>
      <c r="C30" s="10" t="n">
        <v>9000</v>
      </c>
      <c r="D30" s="10" t="n">
        <v>9000</v>
      </c>
      <c r="E30" s="11" t="s">
        <v>64</v>
      </c>
    </row>
    <row r="31" customFormat="false" ht="43.25" hidden="false" customHeight="false" outlineLevel="0" collapsed="false">
      <c r="A31" s="9" t="s">
        <v>65</v>
      </c>
      <c r="B31" s="10" t="n">
        <v>3000</v>
      </c>
      <c r="C31" s="10" t="n">
        <v>4500</v>
      </c>
      <c r="D31" s="10" t="n">
        <v>6000</v>
      </c>
      <c r="E31" s="11" t="s">
        <v>66</v>
      </c>
    </row>
    <row r="32" customFormat="false" ht="43.25" hidden="false" customHeight="false" outlineLevel="0" collapsed="false">
      <c r="A32" s="9" t="s">
        <v>67</v>
      </c>
      <c r="B32" s="16" t="n">
        <v>0.07</v>
      </c>
      <c r="C32" s="16" t="n">
        <v>0.1</v>
      </c>
      <c r="D32" s="16" t="n">
        <v>0.135</v>
      </c>
      <c r="E32" s="11" t="s">
        <v>68</v>
      </c>
    </row>
    <row r="33" customFormat="false" ht="32.8" hidden="false" customHeight="false" outlineLevel="0" collapsed="false">
      <c r="A33" s="9" t="s">
        <v>69</v>
      </c>
      <c r="B33" s="10" t="n">
        <v>-21000</v>
      </c>
      <c r="C33" s="10" t="n">
        <v>-21000</v>
      </c>
      <c r="D33" s="10" t="n">
        <v>-21000</v>
      </c>
      <c r="E33" s="11" t="s">
        <v>70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9" t="s">
        <v>72</v>
      </c>
    </row>
    <row r="3" customFormat="false" ht="26.85" hidden="false" customHeight="true" outlineLevel="0" collapsed="false">
      <c r="A3" s="20" t="s">
        <v>73</v>
      </c>
      <c r="B3" s="20" t="s">
        <v>74</v>
      </c>
      <c r="C3" s="20" t="s">
        <v>75</v>
      </c>
      <c r="D3" s="20" t="s">
        <v>76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 t="s">
        <v>77</v>
      </c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 t="s">
        <v>78</v>
      </c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 t="s">
        <v>79</v>
      </c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 t="s">
        <v>80</v>
      </c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</row>
    <row r="4" customFormat="false" ht="15" hidden="false" customHeight="false" outlineLevel="0" collapsed="false">
      <c r="A4" s="7" t="s">
        <v>81</v>
      </c>
      <c r="B4" s="21"/>
      <c r="C4" s="21" t="s">
        <v>82</v>
      </c>
      <c r="D4" s="21" t="s">
        <v>83</v>
      </c>
      <c r="E4" s="21" t="s">
        <v>84</v>
      </c>
      <c r="F4" s="21" t="s">
        <v>85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  <c r="P4" s="21" t="s">
        <v>95</v>
      </c>
      <c r="Q4" s="21" t="s">
        <v>96</v>
      </c>
      <c r="R4" s="21" t="s">
        <v>97</v>
      </c>
      <c r="S4" s="21" t="s">
        <v>98</v>
      </c>
      <c r="T4" s="21" t="s">
        <v>99</v>
      </c>
      <c r="U4" s="21" t="s">
        <v>100</v>
      </c>
      <c r="V4" s="21" t="s">
        <v>101</v>
      </c>
      <c r="W4" s="21" t="s">
        <v>102</v>
      </c>
      <c r="X4" s="21" t="s">
        <v>103</v>
      </c>
      <c r="Y4" s="21" t="s">
        <v>104</v>
      </c>
      <c r="Z4" s="21" t="s">
        <v>105</v>
      </c>
      <c r="AA4" s="21" t="s">
        <v>106</v>
      </c>
      <c r="AB4" s="21" t="s">
        <v>107</v>
      </c>
      <c r="AC4" s="21" t="s">
        <v>108</v>
      </c>
      <c r="AD4" s="21" t="s">
        <v>109</v>
      </c>
      <c r="AE4" s="21" t="s">
        <v>110</v>
      </c>
      <c r="AF4" s="21" t="s">
        <v>111</v>
      </c>
      <c r="AG4" s="21" t="s">
        <v>112</v>
      </c>
      <c r="AH4" s="21" t="s">
        <v>113</v>
      </c>
      <c r="AI4" s="21" t="s">
        <v>114</v>
      </c>
      <c r="AJ4" s="21" t="s">
        <v>115</v>
      </c>
      <c r="AK4" s="21" t="s">
        <v>116</v>
      </c>
      <c r="AL4" s="21" t="s">
        <v>117</v>
      </c>
      <c r="AM4" s="21" t="s">
        <v>118</v>
      </c>
      <c r="AN4" s="21" t="s">
        <v>119</v>
      </c>
      <c r="AO4" s="21" t="s">
        <v>120</v>
      </c>
      <c r="AP4" s="21" t="s">
        <v>121</v>
      </c>
      <c r="AQ4" s="21" t="s">
        <v>122</v>
      </c>
      <c r="AR4" s="21" t="s">
        <v>123</v>
      </c>
      <c r="AS4" s="21" t="s">
        <v>124</v>
      </c>
      <c r="AT4" s="21" t="s">
        <v>125</v>
      </c>
      <c r="AU4" s="21" t="s">
        <v>126</v>
      </c>
      <c r="AV4" s="21" t="s">
        <v>127</v>
      </c>
      <c r="AW4" s="21" t="s">
        <v>128</v>
      </c>
      <c r="AX4" s="21" t="s">
        <v>129</v>
      </c>
      <c r="AY4" s="21" t="s">
        <v>130</v>
      </c>
      <c r="AZ4" s="21" t="s">
        <v>131</v>
      </c>
      <c r="BA4" s="21" t="s">
        <v>132</v>
      </c>
      <c r="BB4" s="21" t="s">
        <v>133</v>
      </c>
      <c r="BC4" s="21" t="s">
        <v>134</v>
      </c>
      <c r="BD4" s="21" t="s">
        <v>135</v>
      </c>
      <c r="BE4" s="21" t="s">
        <v>136</v>
      </c>
      <c r="BF4" s="21" t="s">
        <v>137</v>
      </c>
      <c r="BG4" s="21" t="s">
        <v>138</v>
      </c>
      <c r="BH4" s="21" t="s">
        <v>139</v>
      </c>
      <c r="BI4" s="21" t="s">
        <v>140</v>
      </c>
      <c r="BJ4" s="21" t="s">
        <v>141</v>
      </c>
      <c r="BK4" s="21" t="s">
        <v>142</v>
      </c>
    </row>
    <row r="6" customFormat="false" ht="15" hidden="false" customHeight="false" outlineLevel="0" collapsed="false">
      <c r="A6" s="9" t="s">
        <v>143</v>
      </c>
      <c r="B6" s="19" t="s">
        <v>144</v>
      </c>
      <c r="C6" s="22" t="n">
        <v>0</v>
      </c>
      <c r="D6" s="22" t="n">
        <f aca="false">MIN(Premissas!$B$9,Premissas!$B$11)</f>
        <v>40</v>
      </c>
      <c r="E6" s="22" t="n">
        <f aca="false">MIN(D6*(1+Premissas!$B$10),Premissas!$B$11)</f>
        <v>40.8</v>
      </c>
      <c r="F6" s="22" t="n">
        <f aca="false">MIN(E6*(1+Premissas!$B$10),Premissas!$B$11)</f>
        <v>41.616</v>
      </c>
      <c r="G6" s="22" t="n">
        <f aca="false">MIN(F6*(1+Premissas!$B$10),Premissas!$B$11)</f>
        <v>42.44832</v>
      </c>
      <c r="H6" s="22" t="n">
        <f aca="false">MIN(G6*(1+Premissas!$B$10),Premissas!$B$11)</f>
        <v>43.2972864</v>
      </c>
      <c r="I6" s="22" t="n">
        <f aca="false">MIN(H6*(1+Premissas!$B$10),Premissas!$B$11)</f>
        <v>44.163232128</v>
      </c>
      <c r="J6" s="22" t="n">
        <f aca="false">MIN(I6*(1+Premissas!$B$10),Premissas!$B$11)</f>
        <v>45.04649677056</v>
      </c>
      <c r="K6" s="22" t="n">
        <f aca="false">MIN(J6*(1+Premissas!$B$10),Premissas!$B$11)</f>
        <v>45.9474267059712</v>
      </c>
      <c r="L6" s="22" t="n">
        <f aca="false">MIN(K6*(1+Premissas!$B$10),Premissas!$B$11)</f>
        <v>46.8663752400906</v>
      </c>
      <c r="M6" s="22" t="n">
        <f aca="false">MIN(L6*(1+Premissas!$B$10),Premissas!$B$11)</f>
        <v>47.8037027448924</v>
      </c>
      <c r="N6" s="22" t="n">
        <f aca="false">MIN(M6*(1+Premissas!$B$10),Premissas!$B$11)</f>
        <v>48.7597767997903</v>
      </c>
      <c r="O6" s="22" t="n">
        <f aca="false">MIN(N6*(1+Premissas!$B$10),Premissas!$B$11)</f>
        <v>49.7349723357861</v>
      </c>
      <c r="P6" s="22" t="n">
        <f aca="false">MIN(O6*(1+Premissas!$B$10),Premissas!$B$11)</f>
        <v>50.7296717825018</v>
      </c>
      <c r="Q6" s="22" t="n">
        <f aca="false">MIN(P6*(1+Premissas!$B$10),Premissas!$B$11)</f>
        <v>51.7442652181519</v>
      </c>
      <c r="R6" s="22" t="n">
        <f aca="false">MIN(Q6*(1+Premissas!$B$10),Premissas!$B$11)</f>
        <v>52.7791505225149</v>
      </c>
      <c r="S6" s="22" t="n">
        <f aca="false">MIN(R6*(1+Premissas!$B$10),Premissas!$B$11)</f>
        <v>53.8347335329652</v>
      </c>
      <c r="T6" s="22" t="n">
        <f aca="false">MIN(S6*(1+Premissas!$B$10),Premissas!$B$11)</f>
        <v>54.9114282036245</v>
      </c>
      <c r="U6" s="22" t="n">
        <f aca="false">MIN(T6*(1+Premissas!$B$10),Premissas!$B$11)</f>
        <v>56.009656767697</v>
      </c>
      <c r="V6" s="22" t="n">
        <f aca="false">MIN(U6*(1+Premissas!$B$10),Premissas!$B$11)</f>
        <v>57.1298499030509</v>
      </c>
      <c r="W6" s="22" t="n">
        <f aca="false">MIN(V6*(1+Premissas!$B$10),Premissas!$B$11)</f>
        <v>58.272446901112</v>
      </c>
      <c r="X6" s="22" t="n">
        <f aca="false">MIN(W6*(1+Premissas!$B$10),Premissas!$B$11)</f>
        <v>59.4378958391342</v>
      </c>
      <c r="Y6" s="22" t="n">
        <f aca="false">MIN(X6*(1+Premissas!$B$10),Premissas!$B$11)</f>
        <v>60.6266537559169</v>
      </c>
      <c r="Z6" s="22" t="n">
        <f aca="false">MIN(Y6*(1+Premissas!$B$10),Premissas!$B$11)</f>
        <v>61.8391868310352</v>
      </c>
      <c r="AA6" s="22" t="n">
        <f aca="false">MIN(Z6*(1+Premissas!$B$10),Premissas!$B$11)</f>
        <v>63.0759705676559</v>
      </c>
      <c r="AB6" s="22" t="n">
        <f aca="false">MIN(AA6*(1+Premissas!$B$10),Premissas!$B$11)</f>
        <v>64.337489979009</v>
      </c>
      <c r="AC6" s="22" t="n">
        <f aca="false">MIN(AB6*(1+Premissas!$B$10),Premissas!$B$11)</f>
        <v>65.6242397785892</v>
      </c>
      <c r="AD6" s="22" t="n">
        <f aca="false">MIN(AC6*(1+Premissas!$B$10),Premissas!$B$11)</f>
        <v>66.936724574161</v>
      </c>
      <c r="AE6" s="22" t="n">
        <f aca="false">MIN(AD6*(1+Premissas!$B$10),Premissas!$B$11)</f>
        <v>68.2754590656442</v>
      </c>
      <c r="AF6" s="22" t="n">
        <f aca="false">MIN(AE6*(1+Premissas!$B$10),Premissas!$B$11)</f>
        <v>69.6409682469571</v>
      </c>
      <c r="AG6" s="22" t="n">
        <f aca="false">MIN(AF6*(1+Premissas!$B$10),Premissas!$B$11)</f>
        <v>71.0337876118963</v>
      </c>
      <c r="AH6" s="22" t="n">
        <f aca="false">MIN(AG6*(1+Premissas!$B$10),Premissas!$B$11)</f>
        <v>72.4544633641342</v>
      </c>
      <c r="AI6" s="22" t="n">
        <f aca="false">MIN(AH6*(1+Premissas!$B$10),Premissas!$B$11)</f>
        <v>73.9035526314169</v>
      </c>
      <c r="AJ6" s="22" t="n">
        <f aca="false">MIN(AI6*(1+Premissas!$B$10),Premissas!$B$11)</f>
        <v>75.3816236840452</v>
      </c>
      <c r="AK6" s="22" t="n">
        <f aca="false">MIN(AJ6*(1+Premissas!$B$10),Premissas!$B$11)</f>
        <v>76.8892561577261</v>
      </c>
      <c r="AL6" s="22" t="n">
        <f aca="false">MIN(AK6*(1+Premissas!$B$10),Premissas!$B$11)</f>
        <v>78.4270412808806</v>
      </c>
      <c r="AM6" s="22" t="n">
        <f aca="false">MIN(AL6*(1+Premissas!$B$10),Premissas!$B$11)</f>
        <v>79.9955821064983</v>
      </c>
      <c r="AN6" s="22" t="n">
        <f aca="false">MIN(AM6*(1+Premissas!$B$10),Premissas!$B$11)</f>
        <v>81.5954937486282</v>
      </c>
      <c r="AO6" s="22" t="n">
        <f aca="false">MIN(AN6*(1+Premissas!$B$10),Premissas!$B$11)</f>
        <v>83.2274036236008</v>
      </c>
      <c r="AP6" s="22" t="n">
        <f aca="false">MIN(AO6*(1+Premissas!$B$10),Premissas!$B$11)</f>
        <v>84.8919516960728</v>
      </c>
      <c r="AQ6" s="22" t="n">
        <f aca="false">MIN(AP6*(1+Premissas!$B$10),Premissas!$B$11)</f>
        <v>86.5897907299943</v>
      </c>
      <c r="AR6" s="22" t="n">
        <f aca="false">MIN(AQ6*(1+Premissas!$B$10),Premissas!$B$11)</f>
        <v>88.3215865445941</v>
      </c>
      <c r="AS6" s="22" t="n">
        <f aca="false">MIN(AR6*(1+Premissas!$B$10),Premissas!$B$11)</f>
        <v>90.088018275486</v>
      </c>
      <c r="AT6" s="22" t="n">
        <f aca="false">MIN(AS6*(1+Premissas!$B$10),Premissas!$B$11)</f>
        <v>91.8897786409957</v>
      </c>
      <c r="AU6" s="22" t="n">
        <f aca="false">MIN(AT6*(1+Premissas!$B$10),Premissas!$B$11)</f>
        <v>93.7275742138157</v>
      </c>
      <c r="AV6" s="22" t="n">
        <f aca="false">MIN(AU6*(1+Premissas!$B$10),Premissas!$B$11)</f>
        <v>95.602125698092</v>
      </c>
      <c r="AW6" s="22" t="n">
        <f aca="false">MIN(AV6*(1+Premissas!$B$10),Premissas!$B$11)</f>
        <v>97.5141682120538</v>
      </c>
      <c r="AX6" s="22" t="n">
        <f aca="false">MIN(AW6*(1+Premissas!$B$10),Premissas!$B$11)</f>
        <v>99.4644515762949</v>
      </c>
      <c r="AY6" s="22" t="n">
        <f aca="false">MIN(AX6*(1+Premissas!$B$10),Premissas!$B$11)</f>
        <v>101.453740607821</v>
      </c>
      <c r="AZ6" s="22" t="n">
        <f aca="false">MIN(AY6*(1+Premissas!$B$10),Premissas!$B$11)</f>
        <v>103.482815419977</v>
      </c>
      <c r="BA6" s="22" t="n">
        <f aca="false">MIN(AZ6*(1+Premissas!$B$10),Premissas!$B$11)</f>
        <v>105.552471728377</v>
      </c>
      <c r="BB6" s="22" t="n">
        <f aca="false">MIN(BA6*(1+Premissas!$B$10),Premissas!$B$11)</f>
        <v>107.663521162944</v>
      </c>
      <c r="BC6" s="22" t="n">
        <f aca="false">MIN(BB6*(1+Premissas!$B$10),Premissas!$B$11)</f>
        <v>109.816791586203</v>
      </c>
      <c r="BD6" s="22" t="n">
        <f aca="false">MIN(BC6*(1+Premissas!$B$10),Premissas!$B$11)</f>
        <v>112.013127417927</v>
      </c>
      <c r="BE6" s="22" t="n">
        <f aca="false">MIN(BD6*(1+Premissas!$B$10),Premissas!$B$11)</f>
        <v>114.253389966286</v>
      </c>
      <c r="BF6" s="22" t="n">
        <f aca="false">MIN(BE6*(1+Premissas!$B$10),Premissas!$B$11)</f>
        <v>116.538457765612</v>
      </c>
      <c r="BG6" s="22" t="n">
        <f aca="false">MIN(BF6*(1+Premissas!$B$10),Premissas!$B$11)</f>
        <v>118.869226920924</v>
      </c>
      <c r="BH6" s="22" t="n">
        <f aca="false">MIN(BG6*(1+Premissas!$B$10),Premissas!$B$11)</f>
        <v>121.246611459342</v>
      </c>
      <c r="BI6" s="22" t="n">
        <f aca="false">MIN(BH6*(1+Premissas!$B$10),Premissas!$B$11)</f>
        <v>123.671543688529</v>
      </c>
      <c r="BJ6" s="22" t="n">
        <f aca="false">MIN(BI6*(1+Premissas!$B$10),Premissas!$B$11)</f>
        <v>126.1449745623</v>
      </c>
      <c r="BK6" s="22" t="n">
        <f aca="false">MIN(BJ6*(1+Premissas!$B$10),Premissas!$B$11)</f>
        <v>128.667874053546</v>
      </c>
    </row>
    <row r="7" customFormat="false" ht="15" hidden="false" customHeight="false" outlineLevel="0" collapsed="false">
      <c r="A7" s="9" t="s">
        <v>145</v>
      </c>
      <c r="B7" s="19" t="s">
        <v>144</v>
      </c>
      <c r="C7" s="22" t="n">
        <v>0</v>
      </c>
      <c r="D7" s="22" t="n">
        <v>0</v>
      </c>
      <c r="E7" s="22" t="n">
        <f aca="false">C6*Premissas!$B$12</f>
        <v>0</v>
      </c>
      <c r="F7" s="22" t="n">
        <f aca="false">D6*Premissas!$B$12</f>
        <v>1.2</v>
      </c>
      <c r="G7" s="22" t="n">
        <f aca="false">E6*Premissas!$B$12</f>
        <v>1.224</v>
      </c>
      <c r="H7" s="22" t="n">
        <f aca="false">F6*Premissas!$B$12</f>
        <v>1.24848</v>
      </c>
      <c r="I7" s="22" t="n">
        <f aca="false">G6*Premissas!$B$12</f>
        <v>1.2734496</v>
      </c>
      <c r="J7" s="22" t="n">
        <f aca="false">H6*Premissas!$B$12</f>
        <v>1.298918592</v>
      </c>
      <c r="K7" s="22" t="n">
        <f aca="false">I6*Premissas!$B$12</f>
        <v>1.32489696384</v>
      </c>
      <c r="L7" s="22" t="n">
        <f aca="false">J6*Premissas!$B$12</f>
        <v>1.3513949031168</v>
      </c>
      <c r="M7" s="22" t="n">
        <f aca="false">K6*Premissas!$B$12</f>
        <v>1.37842280117914</v>
      </c>
      <c r="N7" s="22" t="n">
        <f aca="false">L6*Premissas!$B$12</f>
        <v>1.40599125720272</v>
      </c>
      <c r="O7" s="22" t="n">
        <f aca="false">M6*Premissas!$B$12</f>
        <v>1.43411108234677</v>
      </c>
      <c r="P7" s="22" t="n">
        <f aca="false">N6*Premissas!$B$12</f>
        <v>1.46279330399371</v>
      </c>
      <c r="Q7" s="22" t="n">
        <f aca="false">O6*Premissas!$B$12</f>
        <v>1.49204917007358</v>
      </c>
      <c r="R7" s="22" t="n">
        <f aca="false">P6*Premissas!$B$12</f>
        <v>1.52189015347505</v>
      </c>
      <c r="S7" s="22" t="n">
        <f aca="false">Q6*Premissas!$B$12</f>
        <v>1.55232795654456</v>
      </c>
      <c r="T7" s="22" t="n">
        <f aca="false">R6*Premissas!$B$12</f>
        <v>1.58337451567545</v>
      </c>
      <c r="U7" s="22" t="n">
        <f aca="false">S6*Premissas!$B$12</f>
        <v>1.61504200598896</v>
      </c>
      <c r="V7" s="22" t="n">
        <f aca="false">T6*Premissas!$B$12</f>
        <v>1.64734284610873</v>
      </c>
      <c r="W7" s="22" t="n">
        <f aca="false">U6*Premissas!$B$12</f>
        <v>1.68028970303091</v>
      </c>
      <c r="X7" s="22" t="n">
        <f aca="false">V6*Premissas!$B$12</f>
        <v>1.71389549709153</v>
      </c>
      <c r="Y7" s="22" t="n">
        <f aca="false">W6*Premissas!$B$12</f>
        <v>1.74817340703336</v>
      </c>
      <c r="Z7" s="22" t="n">
        <f aca="false">X6*Premissas!$B$12</f>
        <v>1.78313687517403</v>
      </c>
      <c r="AA7" s="22" t="n">
        <f aca="false">Y6*Premissas!$B$12</f>
        <v>1.81879961267751</v>
      </c>
      <c r="AB7" s="22" t="n">
        <f aca="false">Z6*Premissas!$B$12</f>
        <v>1.85517560493106</v>
      </c>
      <c r="AC7" s="22" t="n">
        <f aca="false">AA6*Premissas!$B$12</f>
        <v>1.89227911702968</v>
      </c>
      <c r="AD7" s="22" t="n">
        <f aca="false">AB6*Premissas!$B$12</f>
        <v>1.93012469937027</v>
      </c>
      <c r="AE7" s="22" t="n">
        <f aca="false">AC6*Premissas!$B$12</f>
        <v>1.96872719335768</v>
      </c>
      <c r="AF7" s="22" t="n">
        <f aca="false">AD6*Premissas!$B$12</f>
        <v>2.00810173722483</v>
      </c>
      <c r="AG7" s="22" t="n">
        <f aca="false">AE6*Premissas!$B$12</f>
        <v>2.04826377196933</v>
      </c>
      <c r="AH7" s="22" t="n">
        <f aca="false">AF6*Premissas!$B$12</f>
        <v>2.08922904740871</v>
      </c>
      <c r="AI7" s="22" t="n">
        <f aca="false">AG6*Premissas!$B$12</f>
        <v>2.13101362835689</v>
      </c>
      <c r="AJ7" s="22" t="n">
        <f aca="false">AH6*Premissas!$B$12</f>
        <v>2.17363390092403</v>
      </c>
      <c r="AK7" s="22" t="n">
        <f aca="false">AI6*Premissas!$B$12</f>
        <v>2.21710657894251</v>
      </c>
      <c r="AL7" s="22" t="n">
        <f aca="false">AJ6*Premissas!$B$12</f>
        <v>2.26144871052136</v>
      </c>
      <c r="AM7" s="22" t="n">
        <f aca="false">AK6*Premissas!$B$12</f>
        <v>2.30667768473178</v>
      </c>
      <c r="AN7" s="22" t="n">
        <f aca="false">AL6*Premissas!$B$12</f>
        <v>2.35281123842642</v>
      </c>
      <c r="AO7" s="22" t="n">
        <f aca="false">AM6*Premissas!$B$12</f>
        <v>2.39986746319495</v>
      </c>
      <c r="AP7" s="22" t="n">
        <f aca="false">AN6*Premissas!$B$12</f>
        <v>2.44786481245885</v>
      </c>
      <c r="AQ7" s="22" t="n">
        <f aca="false">AO6*Premissas!$B$12</f>
        <v>2.49682210870802</v>
      </c>
      <c r="AR7" s="22" t="n">
        <f aca="false">AP6*Premissas!$B$12</f>
        <v>2.54675855088218</v>
      </c>
      <c r="AS7" s="22" t="n">
        <f aca="false">AQ6*Premissas!$B$12</f>
        <v>2.59769372189983</v>
      </c>
      <c r="AT7" s="22" t="n">
        <f aca="false">AR6*Premissas!$B$12</f>
        <v>2.64964759633782</v>
      </c>
      <c r="AU7" s="22" t="n">
        <f aca="false">AS6*Premissas!$B$12</f>
        <v>2.70264054826458</v>
      </c>
      <c r="AV7" s="22" t="n">
        <f aca="false">AT6*Premissas!$B$12</f>
        <v>2.75669335922987</v>
      </c>
      <c r="AW7" s="22" t="n">
        <f aca="false">AU6*Premissas!$B$12</f>
        <v>2.81182722641447</v>
      </c>
      <c r="AX7" s="22" t="n">
        <f aca="false">AV6*Premissas!$B$12</f>
        <v>2.86806377094276</v>
      </c>
      <c r="AY7" s="22" t="n">
        <f aca="false">AW6*Premissas!$B$12</f>
        <v>2.92542504636161</v>
      </c>
      <c r="AZ7" s="22" t="n">
        <f aca="false">AX6*Premissas!$B$12</f>
        <v>2.98393354728885</v>
      </c>
      <c r="BA7" s="22" t="n">
        <f aca="false">AY6*Premissas!$B$12</f>
        <v>3.04361221823462</v>
      </c>
      <c r="BB7" s="22" t="n">
        <f aca="false">AZ6*Premissas!$B$12</f>
        <v>3.10448446259932</v>
      </c>
      <c r="BC7" s="22" t="n">
        <f aca="false">BA6*Premissas!$B$12</f>
        <v>3.1665741518513</v>
      </c>
      <c r="BD7" s="22" t="n">
        <f aca="false">BB6*Premissas!$B$12</f>
        <v>3.22990563488833</v>
      </c>
      <c r="BE7" s="22" t="n">
        <f aca="false">BC6*Premissas!$B$12</f>
        <v>3.2945037475861</v>
      </c>
      <c r="BF7" s="22" t="n">
        <f aca="false">BD6*Premissas!$B$12</f>
        <v>3.36039382253782</v>
      </c>
      <c r="BG7" s="22" t="n">
        <f aca="false">BE6*Premissas!$B$12</f>
        <v>3.42760169898857</v>
      </c>
      <c r="BH7" s="22" t="n">
        <f aca="false">BF6*Premissas!$B$12</f>
        <v>3.49615373296834</v>
      </c>
      <c r="BI7" s="22" t="n">
        <f aca="false">BG6*Premissas!$B$12</f>
        <v>3.56607680762771</v>
      </c>
      <c r="BJ7" s="22" t="n">
        <f aca="false">BH6*Premissas!$B$12</f>
        <v>3.63739834378027</v>
      </c>
      <c r="BK7" s="22" t="n">
        <f aca="false">BI6*Premissas!$B$12</f>
        <v>3.71014631065587</v>
      </c>
    </row>
    <row r="8" customFormat="false" ht="15" hidden="false" customHeight="false" outlineLevel="0" collapsed="false">
      <c r="A8" s="9" t="s">
        <v>146</v>
      </c>
      <c r="B8" s="19" t="s">
        <v>144</v>
      </c>
      <c r="C8" s="22" t="n">
        <v>0</v>
      </c>
      <c r="D8" s="22" t="n">
        <f aca="false">C8*(1-Premissas!$B$14)+D6-D7</f>
        <v>40</v>
      </c>
      <c r="E8" s="22" t="n">
        <f aca="false">D8*(1-Premissas!$B$14)+E6-E7</f>
        <v>74.8</v>
      </c>
      <c r="F8" s="22" t="n">
        <f aca="false">E8*(1-Premissas!$B$14)+F6-F7</f>
        <v>103.996</v>
      </c>
      <c r="G8" s="22" t="n">
        <f aca="false">F8*(1-Premissas!$B$14)+G6-G7</f>
        <v>129.62092</v>
      </c>
      <c r="H8" s="22" t="n">
        <f aca="false">G8*(1-Premissas!$B$14)+H6-H7</f>
        <v>152.2265884</v>
      </c>
      <c r="I8" s="22" t="n">
        <f aca="false">H8*(1-Premissas!$B$14)+I6-I7</f>
        <v>172.282382668</v>
      </c>
      <c r="J8" s="22" t="n">
        <f aca="false">I8*(1-Premissas!$B$14)+J6-J7</f>
        <v>190.18760344636</v>
      </c>
      <c r="K8" s="22" t="n">
        <f aca="false">J8*(1-Premissas!$B$14)+K6-K7</f>
        <v>206.281992671537</v>
      </c>
      <c r="L8" s="22" t="n">
        <f aca="false">K8*(1-Premissas!$B$14)+L6-L7</f>
        <v>220.85467410778</v>
      </c>
      <c r="M8" s="22" t="n">
        <f aca="false">L8*(1-Premissas!$B$14)+M6-M7</f>
        <v>234.151752935327</v>
      </c>
      <c r="N8" s="22" t="n">
        <f aca="false">M8*(1-Premissas!$B$14)+N6-N7</f>
        <v>246.382775537615</v>
      </c>
      <c r="O8" s="22" t="n">
        <f aca="false">N8*(1-Premissas!$B$14)+O6-O7</f>
        <v>257.726220460412</v>
      </c>
      <c r="P8" s="22" t="n">
        <f aca="false">O8*(1-Premissas!$B$14)+P6-P7</f>
        <v>268.334165869859</v>
      </c>
      <c r="Q8" s="22" t="n">
        <f aca="false">P8*(1-Premissas!$B$14)+Q6-Q7</f>
        <v>278.336257037458</v>
      </c>
      <c r="R8" s="22" t="n">
        <f aca="false">Q8*(1-Premissas!$B$14)+R6-R7</f>
        <v>287.843078850879</v>
      </c>
      <c r="S8" s="22" t="n">
        <f aca="false">R8*(1-Premissas!$B$14)+S6-S7</f>
        <v>296.949022599668</v>
      </c>
      <c r="T8" s="22" t="n">
        <f aca="false">S8*(1-Premissas!$B$14)+T6-T7</f>
        <v>305.734722897667</v>
      </c>
      <c r="U8" s="22" t="n">
        <f aca="false">T8*(1-Premissas!$B$14)+U6-U7</f>
        <v>314.269129224725</v>
      </c>
      <c r="V8" s="22" t="n">
        <f aca="false">U8*(1-Premissas!$B$14)+V6-V7</f>
        <v>322.611266897958</v>
      </c>
      <c r="W8" s="22" t="n">
        <f aca="false">V8*(1-Premissas!$B$14)+W6-W7</f>
        <v>330.811734061346</v>
      </c>
      <c r="X8" s="22" t="n">
        <f aca="false">W8*(1-Premissas!$B$14)+X6-X7</f>
        <v>338.913974294186</v>
      </c>
      <c r="Y8" s="22" t="n">
        <f aca="false">X8*(1-Premissas!$B$14)+Y6-Y7</f>
        <v>346.955358498942</v>
      </c>
      <c r="Z8" s="22" t="n">
        <f aca="false">Y8*(1-Premissas!$B$14)+Z6-Z7</f>
        <v>354.968104679962</v>
      </c>
      <c r="AA8" s="22" t="n">
        <f aca="false">Z8*(1-Premissas!$B$14)+AA6-AA7</f>
        <v>362.980059932946</v>
      </c>
      <c r="AB8" s="22" t="n">
        <f aca="false">AA8*(1-Premissas!$B$14)+AB6-AB7</f>
        <v>371.015365317082</v>
      </c>
      <c r="AC8" s="22" t="n">
        <f aca="false">AB8*(1-Premissas!$B$14)+AC6-AC7</f>
        <v>379.095021181079</v>
      </c>
      <c r="AD8" s="22" t="n">
        <f aca="false">AC8*(1-Premissas!$B$14)+AD6-AD7</f>
        <v>387.237367878708</v>
      </c>
      <c r="AE8" s="22" t="n">
        <f aca="false">AD8*(1-Premissas!$B$14)+AE6-AE7</f>
        <v>395.458494569189</v>
      </c>
      <c r="AF8" s="22" t="n">
        <f aca="false">AE8*(1-Premissas!$B$14)+AF6-AF7</f>
        <v>403.772586893543</v>
      </c>
      <c r="AG8" s="22" t="n">
        <f aca="false">AF8*(1-Premissas!$B$14)+AG6-AG7</f>
        <v>412.192222699438</v>
      </c>
      <c r="AH8" s="22" t="n">
        <f aca="false">AG8*(1-Premissas!$B$14)+AH6-AH7</f>
        <v>420.728623611248</v>
      </c>
      <c r="AI8" s="22" t="n">
        <f aca="false">AH8*(1-Premissas!$B$14)+AI6-AI7</f>
        <v>429.391869072621</v>
      </c>
      <c r="AJ8" s="22" t="n">
        <f aca="false">AI8*(1-Premissas!$B$14)+AJ6-AJ7</f>
        <v>438.191078494849</v>
      </c>
      <c r="AK8" s="22" t="n">
        <f aca="false">AJ8*(1-Premissas!$B$14)+AK6-AK7</f>
        <v>447.134566299405</v>
      </c>
      <c r="AL8" s="22" t="n">
        <f aca="false">AK8*(1-Premissas!$B$14)+AL6-AL7</f>
        <v>456.229973924854</v>
      </c>
      <c r="AM8" s="22" t="n">
        <f aca="false">AL8*(1-Premissas!$B$14)+AM6-AM7</f>
        <v>465.484382257892</v>
      </c>
      <c r="AN8" s="22" t="n">
        <f aca="false">AM8*(1-Premissas!$B$14)+AN6-AN7</f>
        <v>474.90440742941</v>
      </c>
      <c r="AO8" s="22" t="n">
        <f aca="false">AN8*(1-Premissas!$B$14)+AO6-AO7</f>
        <v>484.496282475404</v>
      </c>
      <c r="AP8" s="22" t="n">
        <f aca="false">AO8*(1-Premissas!$B$14)+AP6-AP7</f>
        <v>494.265926987708</v>
      </c>
      <c r="AQ8" s="22" t="n">
        <f aca="false">AP8*(1-Premissas!$B$14)+AQ6-AQ7</f>
        <v>504.219006560838</v>
      </c>
      <c r="AR8" s="22" t="n">
        <f aca="false">AQ8*(1-Premissas!$B$14)+AR6-AR7</f>
        <v>514.360983570424</v>
      </c>
      <c r="AS8" s="22" t="n">
        <f aca="false">AR8*(1-Premissas!$B$14)+AS6-AS7</f>
        <v>524.697160588447</v>
      </c>
      <c r="AT8" s="22" t="n">
        <f aca="false">AS8*(1-Premissas!$B$14)+AT6-AT7</f>
        <v>535.232717544837</v>
      </c>
      <c r="AU8" s="22" t="n">
        <f aca="false">AT8*(1-Premissas!$B$14)+AU6-AU7</f>
        <v>545.972743578663</v>
      </c>
      <c r="AV8" s="22" t="n">
        <f aca="false">AU8*(1-Premissas!$B$14)+AV6-AV7</f>
        <v>556.922264380726</v>
      </c>
      <c r="AW8" s="22" t="n">
        <f aca="false">AV8*(1-Premissas!$B$14)+AW6-AW7</f>
        <v>568.086265709256</v>
      </c>
      <c r="AX8" s="22" t="n">
        <f aca="false">AW8*(1-Premissas!$B$14)+AX6-AX7</f>
        <v>579.46971365822</v>
      </c>
      <c r="AY8" s="22" t="n">
        <f aca="false">AX8*(1-Premissas!$B$14)+AY6-AY7</f>
        <v>591.077572170946</v>
      </c>
      <c r="AZ8" s="22" t="n">
        <f aca="false">AY8*(1-Premissas!$B$14)+AZ6-AZ7</f>
        <v>602.914818217992</v>
      </c>
      <c r="BA8" s="22" t="n">
        <f aca="false">AZ8*(1-Premissas!$B$14)+BA6-BA7</f>
        <v>614.986454995436</v>
      </c>
      <c r="BB8" s="22" t="n">
        <f aca="false">BA8*(1-Premissas!$B$14)+BB6-BB7</f>
        <v>627.297523446465</v>
      </c>
      <c r="BC8" s="22" t="n">
        <f aca="false">BB8*(1-Premissas!$B$14)+BC6-BC7</f>
        <v>639.853112363847</v>
      </c>
      <c r="BD8" s="22" t="n">
        <f aca="false">BC8*(1-Premissas!$B$14)+BD6-BD7</f>
        <v>652.658367292309</v>
      </c>
      <c r="BE8" s="22" t="n">
        <f aca="false">BD8*(1-Premissas!$B$14)+BE6-BE7</f>
        <v>665.718498417162</v>
      </c>
      <c r="BF8" s="22" t="n">
        <f aca="false">BE8*(1-Premissas!$B$14)+BF6-BF7</f>
        <v>679.038787597662</v>
      </c>
      <c r="BG8" s="22" t="n">
        <f aca="false">BF8*(1-Premissas!$B$14)+BG6-BG7</f>
        <v>692.624594679947</v>
      </c>
      <c r="BH8" s="22" t="n">
        <f aca="false">BG8*(1-Premissas!$B$14)+BH6-BH7</f>
        <v>706.481363204329</v>
      </c>
      <c r="BI8" s="22" t="n">
        <f aca="false">BH8*(1-Premissas!$B$14)+BI6-BI7</f>
        <v>720.614625604581</v>
      </c>
      <c r="BJ8" s="22" t="n">
        <f aca="false">BI8*(1-Premissas!$B$14)+BJ6-BJ7</f>
        <v>735.030007982413</v>
      </c>
      <c r="BK8" s="22" t="n">
        <f aca="false">BJ8*(1-Premissas!$B$14)+BK6-BK7</f>
        <v>749.733234527941</v>
      </c>
    </row>
    <row r="9" customFormat="false" ht="15" hidden="false" customHeight="false" outlineLevel="0" collapsed="false">
      <c r="A9" s="9" t="s">
        <v>147</v>
      </c>
      <c r="B9" s="19" t="s">
        <v>144</v>
      </c>
      <c r="C9" s="22" t="n">
        <v>0</v>
      </c>
      <c r="D9" s="22" t="n">
        <f aca="false">D7*Premissas!$B$13</f>
        <v>0</v>
      </c>
      <c r="E9" s="22" t="n">
        <f aca="false">E7*Premissas!$B$13</f>
        <v>0</v>
      </c>
      <c r="F9" s="22" t="n">
        <f aca="false">F7*Premissas!$B$13</f>
        <v>1.08</v>
      </c>
      <c r="G9" s="22" t="n">
        <f aca="false">G7*Premissas!$B$13</f>
        <v>1.1016</v>
      </c>
      <c r="H9" s="22" t="n">
        <f aca="false">H7*Premissas!$B$13</f>
        <v>1.123632</v>
      </c>
      <c r="I9" s="22" t="n">
        <f aca="false">I7*Premissas!$B$13</f>
        <v>1.14610464</v>
      </c>
      <c r="J9" s="22" t="n">
        <f aca="false">J7*Premissas!$B$13</f>
        <v>1.1690267328</v>
      </c>
      <c r="K9" s="22" t="n">
        <f aca="false">K7*Premissas!$B$13</f>
        <v>1.192407267456</v>
      </c>
      <c r="L9" s="22" t="n">
        <f aca="false">L7*Premissas!$B$13</f>
        <v>1.21625541280512</v>
      </c>
      <c r="M9" s="22" t="n">
        <f aca="false">M7*Premissas!$B$13</f>
        <v>1.24058052106122</v>
      </c>
      <c r="N9" s="22" t="n">
        <f aca="false">N7*Premissas!$B$13</f>
        <v>1.26539213148245</v>
      </c>
      <c r="O9" s="22" t="n">
        <f aca="false">O7*Premissas!$B$13</f>
        <v>1.2906999741121</v>
      </c>
      <c r="P9" s="22" t="n">
        <f aca="false">P7*Premissas!$B$13</f>
        <v>1.31651397359434</v>
      </c>
      <c r="Q9" s="22" t="n">
        <f aca="false">Q7*Premissas!$B$13</f>
        <v>1.34284425306622</v>
      </c>
      <c r="R9" s="22" t="n">
        <f aca="false">R7*Premissas!$B$13</f>
        <v>1.36970113812755</v>
      </c>
      <c r="S9" s="22" t="n">
        <f aca="false">S7*Premissas!$B$13</f>
        <v>1.3970951608901</v>
      </c>
      <c r="T9" s="22" t="n">
        <f aca="false">T7*Premissas!$B$13</f>
        <v>1.4250370641079</v>
      </c>
      <c r="U9" s="22" t="n">
        <f aca="false">U7*Premissas!$B$13</f>
        <v>1.45353780539006</v>
      </c>
      <c r="V9" s="22" t="n">
        <f aca="false">V7*Premissas!$B$13</f>
        <v>1.48260856149786</v>
      </c>
      <c r="W9" s="22" t="n">
        <f aca="false">W7*Premissas!$B$13</f>
        <v>1.51226073272782</v>
      </c>
      <c r="X9" s="22" t="n">
        <f aca="false">X7*Premissas!$B$13</f>
        <v>1.54250594738238</v>
      </c>
      <c r="Y9" s="22" t="n">
        <f aca="false">Y7*Premissas!$B$13</f>
        <v>1.57335606633002</v>
      </c>
      <c r="Z9" s="22" t="n">
        <f aca="false">Z7*Premissas!$B$13</f>
        <v>1.60482318765662</v>
      </c>
      <c r="AA9" s="22" t="n">
        <f aca="false">AA7*Premissas!$B$13</f>
        <v>1.63691965140976</v>
      </c>
      <c r="AB9" s="22" t="n">
        <f aca="false">AB7*Premissas!$B$13</f>
        <v>1.66965804443795</v>
      </c>
      <c r="AC9" s="22" t="n">
        <f aca="false">AC7*Premissas!$B$13</f>
        <v>1.70305120532671</v>
      </c>
      <c r="AD9" s="22" t="n">
        <f aca="false">AD7*Premissas!$B$13</f>
        <v>1.73711222943324</v>
      </c>
      <c r="AE9" s="22" t="n">
        <f aca="false">AE7*Premissas!$B$13</f>
        <v>1.77185447402191</v>
      </c>
      <c r="AF9" s="22" t="n">
        <f aca="false">AF7*Premissas!$B$13</f>
        <v>1.80729156350235</v>
      </c>
      <c r="AG9" s="22" t="n">
        <f aca="false">AG7*Premissas!$B$13</f>
        <v>1.84343739477239</v>
      </c>
      <c r="AH9" s="22" t="n">
        <f aca="false">AH7*Premissas!$B$13</f>
        <v>1.88030614266784</v>
      </c>
      <c r="AI9" s="22" t="n">
        <f aca="false">AI7*Premissas!$B$13</f>
        <v>1.9179122655212</v>
      </c>
      <c r="AJ9" s="22" t="n">
        <f aca="false">AJ7*Premissas!$B$13</f>
        <v>1.95627051083162</v>
      </c>
      <c r="AK9" s="22" t="n">
        <f aca="false">AK7*Premissas!$B$13</f>
        <v>1.99539592104826</v>
      </c>
      <c r="AL9" s="22" t="n">
        <f aca="false">AL7*Premissas!$B$13</f>
        <v>2.03530383946922</v>
      </c>
      <c r="AM9" s="22" t="n">
        <f aca="false">AM7*Premissas!$B$13</f>
        <v>2.07600991625861</v>
      </c>
      <c r="AN9" s="22" t="n">
        <f aca="false">AN7*Premissas!$B$13</f>
        <v>2.11753011458378</v>
      </c>
      <c r="AO9" s="22" t="n">
        <f aca="false">AO7*Premissas!$B$13</f>
        <v>2.15988071687545</v>
      </c>
      <c r="AP9" s="22" t="n">
        <f aca="false">AP7*Premissas!$B$13</f>
        <v>2.20307833121296</v>
      </c>
      <c r="AQ9" s="22" t="n">
        <f aca="false">AQ7*Premissas!$B$13</f>
        <v>2.24713989783722</v>
      </c>
      <c r="AR9" s="22" t="n">
        <f aca="false">AR7*Premissas!$B$13</f>
        <v>2.29208269579397</v>
      </c>
      <c r="AS9" s="22" t="n">
        <f aca="false">AS7*Premissas!$B$13</f>
        <v>2.33792434970984</v>
      </c>
      <c r="AT9" s="22" t="n">
        <f aca="false">AT7*Premissas!$B$13</f>
        <v>2.38468283670404</v>
      </c>
      <c r="AU9" s="22" t="n">
        <f aca="false">AU7*Premissas!$B$13</f>
        <v>2.43237649343812</v>
      </c>
      <c r="AV9" s="22" t="n">
        <f aca="false">AV7*Premissas!$B$13</f>
        <v>2.48102402330689</v>
      </c>
      <c r="AW9" s="22" t="n">
        <f aca="false">AW7*Premissas!$B$13</f>
        <v>2.53064450377302</v>
      </c>
      <c r="AX9" s="22" t="n">
        <f aca="false">AX7*Premissas!$B$13</f>
        <v>2.58125739384848</v>
      </c>
      <c r="AY9" s="22" t="n">
        <f aca="false">AY7*Premissas!$B$13</f>
        <v>2.63288254172545</v>
      </c>
      <c r="AZ9" s="22" t="n">
        <f aca="false">AZ7*Premissas!$B$13</f>
        <v>2.68554019255996</v>
      </c>
      <c r="BA9" s="22" t="n">
        <f aca="false">BA7*Premissas!$B$13</f>
        <v>2.73925099641116</v>
      </c>
      <c r="BB9" s="22" t="n">
        <f aca="false">BB7*Premissas!$B$13</f>
        <v>2.79403601633938</v>
      </c>
      <c r="BC9" s="22" t="n">
        <f aca="false">BC7*Premissas!$B$13</f>
        <v>2.84991673666617</v>
      </c>
      <c r="BD9" s="22" t="n">
        <f aca="false">BD7*Premissas!$B$13</f>
        <v>2.9069150713995</v>
      </c>
      <c r="BE9" s="22" t="n">
        <f aca="false">BE7*Premissas!$B$13</f>
        <v>2.96505337282749</v>
      </c>
      <c r="BF9" s="22" t="n">
        <f aca="false">BF7*Premissas!$B$13</f>
        <v>3.02435444028404</v>
      </c>
      <c r="BG9" s="22" t="n">
        <f aca="false">BG7*Premissas!$B$13</f>
        <v>3.08484152908972</v>
      </c>
      <c r="BH9" s="22" t="n">
        <f aca="false">BH7*Premissas!$B$13</f>
        <v>3.14653835967151</v>
      </c>
      <c r="BI9" s="22" t="n">
        <f aca="false">BI7*Premissas!$B$13</f>
        <v>3.20946912686494</v>
      </c>
      <c r="BJ9" s="22" t="n">
        <f aca="false">BJ7*Premissas!$B$13</f>
        <v>3.27365850940224</v>
      </c>
      <c r="BK9" s="22" t="n">
        <f aca="false">BK7*Premissas!$B$13</f>
        <v>3.33913167959028</v>
      </c>
    </row>
    <row r="10" customFormat="false" ht="15" hidden="false" customHeight="false" outlineLevel="0" collapsed="false">
      <c r="A10" s="9" t="s">
        <v>148</v>
      </c>
      <c r="B10" s="19" t="s">
        <v>144</v>
      </c>
      <c r="C10" s="22" t="n">
        <v>0</v>
      </c>
      <c r="D10" s="22" t="n">
        <f aca="false">D7*(1-Premissas!$B$13)</f>
        <v>0</v>
      </c>
      <c r="E10" s="22" t="n">
        <f aca="false">E7*(1-Premissas!$B$13)</f>
        <v>0</v>
      </c>
      <c r="F10" s="22" t="n">
        <f aca="false">F7*(1-Premissas!$B$13)</f>
        <v>0.12</v>
      </c>
      <c r="G10" s="22" t="n">
        <f aca="false">G7*(1-Premissas!$B$13)</f>
        <v>0.1224</v>
      </c>
      <c r="H10" s="22" t="n">
        <f aca="false">H7*(1-Premissas!$B$13)</f>
        <v>0.124848</v>
      </c>
      <c r="I10" s="22" t="n">
        <f aca="false">I7*(1-Premissas!$B$13)</f>
        <v>0.12734496</v>
      </c>
      <c r="J10" s="22" t="n">
        <f aca="false">J7*(1-Premissas!$B$13)</f>
        <v>0.1298918592</v>
      </c>
      <c r="K10" s="22" t="n">
        <f aca="false">K7*(1-Premissas!$B$13)</f>
        <v>0.132489696384</v>
      </c>
      <c r="L10" s="22" t="n">
        <f aca="false">L7*(1-Premissas!$B$13)</f>
        <v>0.13513949031168</v>
      </c>
      <c r="M10" s="22" t="n">
        <f aca="false">M7*(1-Premissas!$B$13)</f>
        <v>0.137842280117914</v>
      </c>
      <c r="N10" s="22" t="n">
        <f aca="false">N7*(1-Premissas!$B$13)</f>
        <v>0.140599125720272</v>
      </c>
      <c r="O10" s="22" t="n">
        <f aca="false">O7*(1-Premissas!$B$13)</f>
        <v>0.143411108234677</v>
      </c>
      <c r="P10" s="22" t="n">
        <f aca="false">P7*(1-Premissas!$B$13)</f>
        <v>0.146279330399371</v>
      </c>
      <c r="Q10" s="22" t="n">
        <f aca="false">Q7*(1-Premissas!$B$13)</f>
        <v>0.149204917007358</v>
      </c>
      <c r="R10" s="22" t="n">
        <f aca="false">R7*(1-Premissas!$B$13)</f>
        <v>0.152189015347505</v>
      </c>
      <c r="S10" s="22" t="n">
        <f aca="false">S7*(1-Premissas!$B$13)</f>
        <v>0.155232795654456</v>
      </c>
      <c r="T10" s="22" t="n">
        <f aca="false">T7*(1-Premissas!$B$13)</f>
        <v>0.158337451567545</v>
      </c>
      <c r="U10" s="22" t="n">
        <f aca="false">U7*(1-Premissas!$B$13)</f>
        <v>0.161504200598896</v>
      </c>
      <c r="V10" s="22" t="n">
        <f aca="false">V7*(1-Premissas!$B$13)</f>
        <v>0.164734284610873</v>
      </c>
      <c r="W10" s="22" t="n">
        <f aca="false">W7*(1-Premissas!$B$13)</f>
        <v>0.168028970303091</v>
      </c>
      <c r="X10" s="22" t="n">
        <f aca="false">X7*(1-Premissas!$B$13)</f>
        <v>0.171389549709153</v>
      </c>
      <c r="Y10" s="22" t="n">
        <f aca="false">Y7*(1-Premissas!$B$13)</f>
        <v>0.174817340703336</v>
      </c>
      <c r="Z10" s="22" t="n">
        <f aca="false">Z7*(1-Premissas!$B$13)</f>
        <v>0.178313687517403</v>
      </c>
      <c r="AA10" s="22" t="n">
        <f aca="false">AA7*(1-Premissas!$B$13)</f>
        <v>0.181879961267751</v>
      </c>
      <c r="AB10" s="22" t="n">
        <f aca="false">AB7*(1-Premissas!$B$13)</f>
        <v>0.185517560493106</v>
      </c>
      <c r="AC10" s="22" t="n">
        <f aca="false">AC7*(1-Premissas!$B$13)</f>
        <v>0.189227911702968</v>
      </c>
      <c r="AD10" s="22" t="n">
        <f aca="false">AD7*(1-Premissas!$B$13)</f>
        <v>0.193012469937027</v>
      </c>
      <c r="AE10" s="22" t="n">
        <f aca="false">AE7*(1-Premissas!$B$13)</f>
        <v>0.196872719335768</v>
      </c>
      <c r="AF10" s="22" t="n">
        <f aca="false">AF7*(1-Premissas!$B$13)</f>
        <v>0.200810173722483</v>
      </c>
      <c r="AG10" s="22" t="n">
        <f aca="false">AG7*(1-Premissas!$B$13)</f>
        <v>0.204826377196933</v>
      </c>
      <c r="AH10" s="22" t="n">
        <f aca="false">AH7*(1-Premissas!$B$13)</f>
        <v>0.208922904740871</v>
      </c>
      <c r="AI10" s="22" t="n">
        <f aca="false">AI7*(1-Premissas!$B$13)</f>
        <v>0.213101362835689</v>
      </c>
      <c r="AJ10" s="22" t="n">
        <f aca="false">AJ7*(1-Premissas!$B$13)</f>
        <v>0.217363390092403</v>
      </c>
      <c r="AK10" s="22" t="n">
        <f aca="false">AK7*(1-Premissas!$B$13)</f>
        <v>0.221710657894251</v>
      </c>
      <c r="AL10" s="22" t="n">
        <f aca="false">AL7*(1-Premissas!$B$13)</f>
        <v>0.226144871052136</v>
      </c>
      <c r="AM10" s="22" t="n">
        <f aca="false">AM7*(1-Premissas!$B$13)</f>
        <v>0.230667768473178</v>
      </c>
      <c r="AN10" s="22" t="n">
        <f aca="false">AN7*(1-Premissas!$B$13)</f>
        <v>0.235281123842642</v>
      </c>
      <c r="AO10" s="22" t="n">
        <f aca="false">AO7*(1-Premissas!$B$13)</f>
        <v>0.239986746319495</v>
      </c>
      <c r="AP10" s="22" t="n">
        <f aca="false">AP7*(1-Premissas!$B$13)</f>
        <v>0.244786481245885</v>
      </c>
      <c r="AQ10" s="22" t="n">
        <f aca="false">AQ7*(1-Premissas!$B$13)</f>
        <v>0.249682210870802</v>
      </c>
      <c r="AR10" s="22" t="n">
        <f aca="false">AR7*(1-Premissas!$B$13)</f>
        <v>0.254675855088218</v>
      </c>
      <c r="AS10" s="22" t="n">
        <f aca="false">AS7*(1-Premissas!$B$13)</f>
        <v>0.259769372189983</v>
      </c>
      <c r="AT10" s="22" t="n">
        <f aca="false">AT7*(1-Premissas!$B$13)</f>
        <v>0.264964759633782</v>
      </c>
      <c r="AU10" s="22" t="n">
        <f aca="false">AU7*(1-Premissas!$B$13)</f>
        <v>0.270264054826458</v>
      </c>
      <c r="AV10" s="22" t="n">
        <f aca="false">AV7*(1-Premissas!$B$13)</f>
        <v>0.275669335922987</v>
      </c>
      <c r="AW10" s="22" t="n">
        <f aca="false">AW7*(1-Premissas!$B$13)</f>
        <v>0.281182722641447</v>
      </c>
      <c r="AX10" s="22" t="n">
        <f aca="false">AX7*(1-Premissas!$B$13)</f>
        <v>0.286806377094276</v>
      </c>
      <c r="AY10" s="22" t="n">
        <f aca="false">AY7*(1-Premissas!$B$13)</f>
        <v>0.292542504636161</v>
      </c>
      <c r="AZ10" s="22" t="n">
        <f aca="false">AZ7*(1-Premissas!$B$13)</f>
        <v>0.298393354728885</v>
      </c>
      <c r="BA10" s="22" t="n">
        <f aca="false">BA7*(1-Premissas!$B$13)</f>
        <v>0.304361221823462</v>
      </c>
      <c r="BB10" s="22" t="n">
        <f aca="false">BB7*(1-Premissas!$B$13)</f>
        <v>0.310448446259932</v>
      </c>
      <c r="BC10" s="22" t="n">
        <f aca="false">BC7*(1-Premissas!$B$13)</f>
        <v>0.31665741518513</v>
      </c>
      <c r="BD10" s="22" t="n">
        <f aca="false">BD7*(1-Premissas!$B$13)</f>
        <v>0.322990563488833</v>
      </c>
      <c r="BE10" s="22" t="n">
        <f aca="false">BE7*(1-Premissas!$B$13)</f>
        <v>0.329450374758609</v>
      </c>
      <c r="BF10" s="22" t="n">
        <f aca="false">BF7*(1-Premissas!$B$13)</f>
        <v>0.336039382253782</v>
      </c>
      <c r="BG10" s="22" t="n">
        <f aca="false">BG7*(1-Premissas!$B$13)</f>
        <v>0.342760169898857</v>
      </c>
      <c r="BH10" s="22" t="n">
        <f aca="false">BH7*(1-Premissas!$B$13)</f>
        <v>0.349615373296834</v>
      </c>
      <c r="BI10" s="22" t="n">
        <f aca="false">BI7*(1-Premissas!$B$13)</f>
        <v>0.356607680762771</v>
      </c>
      <c r="BJ10" s="22" t="n">
        <f aca="false">BJ7*(1-Premissas!$B$13)</f>
        <v>0.363739834378027</v>
      </c>
      <c r="BK10" s="22" t="n">
        <f aca="false">BK7*(1-Premissas!$B$13)</f>
        <v>0.371014631065587</v>
      </c>
    </row>
    <row r="11" customFormat="false" ht="15" hidden="false" customHeight="false" outlineLevel="0" collapsed="false">
      <c r="A11" s="9" t="s">
        <v>149</v>
      </c>
      <c r="B11" s="19" t="s">
        <v>144</v>
      </c>
      <c r="C11" s="22" t="n">
        <v>0</v>
      </c>
      <c r="D11" s="22" t="n">
        <f aca="false">C11*(1-Premissas!$B$15)+D9</f>
        <v>0</v>
      </c>
      <c r="E11" s="22" t="n">
        <f aca="false">D11*(1-Premissas!$B$15)+E9</f>
        <v>0</v>
      </c>
      <c r="F11" s="22" t="n">
        <f aca="false">E11*(1-Premissas!$B$15)+F9</f>
        <v>1.08</v>
      </c>
      <c r="G11" s="22" t="n">
        <f aca="false">F11*(1-Premissas!$B$15)+G9</f>
        <v>2.0952</v>
      </c>
      <c r="H11" s="22" t="n">
        <f aca="false">G11*(1-Premissas!$B$15)+H9</f>
        <v>3.051216</v>
      </c>
      <c r="I11" s="22" t="n">
        <f aca="false">H11*(1-Premissas!$B$15)+I9</f>
        <v>3.95322336</v>
      </c>
      <c r="J11" s="22" t="n">
        <f aca="false">I11*(1-Premissas!$B$15)+J9</f>
        <v>4.805992224</v>
      </c>
      <c r="K11" s="22" t="n">
        <f aca="false">J11*(1-Premissas!$B$15)+K9</f>
        <v>5.613920113536</v>
      </c>
      <c r="L11" s="22" t="n">
        <f aca="false">K11*(1-Premissas!$B$15)+L9</f>
        <v>6.38106191725824</v>
      </c>
      <c r="M11" s="22" t="n">
        <f aca="false">L11*(1-Premissas!$B$15)+M9</f>
        <v>7.1111574849388</v>
      </c>
      <c r="N11" s="22" t="n">
        <f aca="false">M11*(1-Premissas!$B$15)+N9</f>
        <v>7.80765701762615</v>
      </c>
      <c r="O11" s="22" t="n">
        <f aca="false">N11*(1-Premissas!$B$15)+O9</f>
        <v>8.47374443032815</v>
      </c>
      <c r="P11" s="22" t="n">
        <f aca="false">O11*(1-Premissas!$B$15)+P9</f>
        <v>9.11235884949624</v>
      </c>
      <c r="Q11" s="22" t="n">
        <f aca="false">P11*(1-Premissas!$B$15)+Q9</f>
        <v>9.72621439460276</v>
      </c>
      <c r="R11" s="22" t="n">
        <f aca="false">Q11*(1-Premissas!$B$15)+R9</f>
        <v>10.3178183811621</v>
      </c>
      <c r="S11" s="22" t="n">
        <f aca="false">R11*(1-Premissas!$B$15)+S9</f>
        <v>10.8894880715592</v>
      </c>
      <c r="T11" s="22" t="n">
        <f aca="false">S11*(1-Premissas!$B$15)+T9</f>
        <v>11.4433660899424</v>
      </c>
      <c r="U11" s="22" t="n">
        <f aca="false">T11*(1-Premissas!$B$15)+U9</f>
        <v>11.9814346081371</v>
      </c>
      <c r="V11" s="22" t="n">
        <f aca="false">U11*(1-Premissas!$B$15)+V9</f>
        <v>12.505528400984</v>
      </c>
      <c r="W11" s="22" t="n">
        <f aca="false">V11*(1-Premissas!$B$15)+W9</f>
        <v>13.0173468616331</v>
      </c>
      <c r="X11" s="22" t="n">
        <f aca="false">W11*(1-Premissas!$B$15)+X9</f>
        <v>13.5184650600848</v>
      </c>
      <c r="Y11" s="22" t="n">
        <f aca="false">X11*(1-Premissas!$B$15)+Y9</f>
        <v>14.010343921608</v>
      </c>
      <c r="Z11" s="22" t="n">
        <f aca="false">Y11*(1-Premissas!$B$15)+Z9</f>
        <v>14.494339595536</v>
      </c>
      <c r="AA11" s="22" t="n">
        <f aca="false">Z11*(1-Premissas!$B$15)+AA9</f>
        <v>14.9717120793029</v>
      </c>
      <c r="AB11" s="22" t="n">
        <f aca="false">AA11*(1-Premissas!$B$15)+AB9</f>
        <v>15.4436331573966</v>
      </c>
      <c r="AC11" s="22" t="n">
        <f aca="false">AB11*(1-Premissas!$B$15)+AC9</f>
        <v>15.9111937101316</v>
      </c>
      <c r="AD11" s="22" t="n">
        <f aca="false">AC11*(1-Premissas!$B$15)+AD9</f>
        <v>16.3754104427543</v>
      </c>
      <c r="AE11" s="22" t="n">
        <f aca="false">AD11*(1-Premissas!$B$15)+AE9</f>
        <v>16.8372320813559</v>
      </c>
      <c r="AF11" s="22" t="n">
        <f aca="false">AE11*(1-Premissas!$B$15)+AF9</f>
        <v>17.2975450783497</v>
      </c>
      <c r="AG11" s="22" t="n">
        <f aca="false">AF11*(1-Premissas!$B$15)+AG9</f>
        <v>17.7571788668542</v>
      </c>
      <c r="AH11" s="22" t="n">
        <f aca="false">AG11*(1-Premissas!$B$15)+AH9</f>
        <v>18.2169107001737</v>
      </c>
      <c r="AI11" s="22" t="n">
        <f aca="false">AH11*(1-Premissas!$B$15)+AI9</f>
        <v>18.677470109681</v>
      </c>
      <c r="AJ11" s="22" t="n">
        <f aca="false">AI11*(1-Premissas!$B$15)+AJ9</f>
        <v>19.1395430117381</v>
      </c>
      <c r="AK11" s="22" t="n">
        <f aca="false">AJ11*(1-Premissas!$B$15)+AK9</f>
        <v>19.6037754918473</v>
      </c>
      <c r="AL11" s="22" t="n">
        <f aca="false">AK11*(1-Premissas!$B$15)+AL9</f>
        <v>20.0707772919688</v>
      </c>
      <c r="AM11" s="22" t="n">
        <f aca="false">AL11*(1-Premissas!$B$15)+AM9</f>
        <v>20.5411250248699</v>
      </c>
      <c r="AN11" s="22" t="n">
        <f aca="false">AM11*(1-Premissas!$B$15)+AN9</f>
        <v>21.0153651374641</v>
      </c>
      <c r="AO11" s="22" t="n">
        <f aca="false">AN11*(1-Premissas!$B$15)+AO9</f>
        <v>21.4940166433424</v>
      </c>
      <c r="AP11" s="22" t="n">
        <f aca="false">AO11*(1-Premissas!$B$15)+AP9</f>
        <v>21.977573643088</v>
      </c>
      <c r="AQ11" s="22" t="n">
        <f aca="false">AP11*(1-Premissas!$B$15)+AQ9</f>
        <v>22.4665076494781</v>
      </c>
      <c r="AR11" s="22" t="n">
        <f aca="false">AQ11*(1-Premissas!$B$15)+AR9</f>
        <v>22.9612697333139</v>
      </c>
      <c r="AS11" s="22" t="n">
        <f aca="false">AR11*(1-Premissas!$B$15)+AS9</f>
        <v>23.4622925043586</v>
      </c>
      <c r="AT11" s="22" t="n">
        <f aca="false">AS11*(1-Premissas!$B$15)+AT9</f>
        <v>23.969991940714</v>
      </c>
      <c r="AU11" s="22" t="n">
        <f aca="false">AT11*(1-Premissas!$B$15)+AU9</f>
        <v>24.484769078895</v>
      </c>
      <c r="AV11" s="22" t="n">
        <f aca="false">AU11*(1-Premissas!$B$15)+AV9</f>
        <v>25.0070115758902</v>
      </c>
      <c r="AW11" s="22" t="n">
        <f aca="false">AV11*(1-Premissas!$B$15)+AW9</f>
        <v>25.5370951535921</v>
      </c>
      <c r="AX11" s="22" t="n">
        <f aca="false">AW11*(1-Premissas!$B$15)+AX9</f>
        <v>26.0753849351532</v>
      </c>
      <c r="AY11" s="22" t="n">
        <f aca="false">AX11*(1-Premissas!$B$15)+AY9</f>
        <v>26.6222366820664</v>
      </c>
      <c r="AZ11" s="22" t="n">
        <f aca="false">AY11*(1-Premissas!$B$15)+AZ9</f>
        <v>27.177997940061</v>
      </c>
      <c r="BA11" s="22" t="n">
        <f aca="false">AZ11*(1-Premissas!$B$15)+BA9</f>
        <v>27.7430091012673</v>
      </c>
      <c r="BB11" s="22" t="n">
        <f aca="false">BA11*(1-Premissas!$B$15)+BB9</f>
        <v>28.3176043895053</v>
      </c>
      <c r="BC11" s="22" t="n">
        <f aca="false">BB11*(1-Premissas!$B$15)+BC9</f>
        <v>28.9021127750111</v>
      </c>
      <c r="BD11" s="22" t="n">
        <f aca="false">BC11*(1-Premissas!$B$15)+BD9</f>
        <v>29.4968588244097</v>
      </c>
      <c r="BE11" s="22" t="n">
        <f aca="false">BD11*(1-Premissas!$B$15)+BE9</f>
        <v>30.1021634912844</v>
      </c>
      <c r="BF11" s="22" t="n">
        <f aca="false">BE11*(1-Premissas!$B$15)+BF9</f>
        <v>30.7183448522657</v>
      </c>
      <c r="BG11" s="22" t="n">
        <f aca="false">BF11*(1-Premissas!$B$15)+BG9</f>
        <v>31.3457187931741</v>
      </c>
      <c r="BH11" s="22" t="n">
        <f aca="false">BG11*(1-Premissas!$B$15)+BH9</f>
        <v>31.9845996493917</v>
      </c>
      <c r="BI11" s="22" t="n">
        <f aca="false">BH11*(1-Premissas!$B$15)+BI9</f>
        <v>32.6353008043053</v>
      </c>
      <c r="BJ11" s="22" t="n">
        <f aca="false">BI11*(1-Premissas!$B$15)+BJ9</f>
        <v>33.2981352493631</v>
      </c>
      <c r="BK11" s="22" t="n">
        <f aca="false">BJ11*(1-Premissas!$B$15)+BK9</f>
        <v>33.9734161090044</v>
      </c>
    </row>
    <row r="12" customFormat="false" ht="15" hidden="false" customHeight="false" outlineLevel="0" collapsed="false">
      <c r="A12" s="9" t="s">
        <v>150</v>
      </c>
      <c r="B12" s="19" t="s">
        <v>144</v>
      </c>
      <c r="C12" s="22" t="n">
        <v>0</v>
      </c>
      <c r="D12" s="22" t="n">
        <f aca="false">C12*(1-Premissas!$B$15)+D10</f>
        <v>0</v>
      </c>
      <c r="E12" s="22" t="n">
        <f aca="false">D12*(1-Premissas!$B$15)+E10</f>
        <v>0</v>
      </c>
      <c r="F12" s="22" t="n">
        <f aca="false">E12*(1-Premissas!$B$15)+F10</f>
        <v>0.12</v>
      </c>
      <c r="G12" s="22" t="n">
        <f aca="false">F12*(1-Premissas!$B$15)+G10</f>
        <v>0.2328</v>
      </c>
      <c r="H12" s="22" t="n">
        <f aca="false">G12*(1-Premissas!$B$15)+H10</f>
        <v>0.339024</v>
      </c>
      <c r="I12" s="22" t="n">
        <f aca="false">H12*(1-Premissas!$B$15)+I10</f>
        <v>0.43924704</v>
      </c>
      <c r="J12" s="22" t="n">
        <f aca="false">I12*(1-Premissas!$B$15)+J10</f>
        <v>0.533999136</v>
      </c>
      <c r="K12" s="22" t="n">
        <f aca="false">J12*(1-Premissas!$B$15)+K10</f>
        <v>0.623768901504</v>
      </c>
      <c r="L12" s="22" t="n">
        <f aca="false">K12*(1-Premissas!$B$15)+L10</f>
        <v>0.70900687969536</v>
      </c>
      <c r="M12" s="22" t="n">
        <f aca="false">L12*(1-Premissas!$B$15)+M10</f>
        <v>0.790128609437645</v>
      </c>
      <c r="N12" s="22" t="n">
        <f aca="false">M12*(1-Premissas!$B$15)+N10</f>
        <v>0.867517446402905</v>
      </c>
      <c r="O12" s="22" t="n">
        <f aca="false">N12*(1-Premissas!$B$15)+O10</f>
        <v>0.94152715892535</v>
      </c>
      <c r="P12" s="22" t="n">
        <f aca="false">O12*(1-Premissas!$B$15)+P10</f>
        <v>1.01248431661069</v>
      </c>
      <c r="Q12" s="22" t="n">
        <f aca="false">P12*(1-Premissas!$B$15)+Q10</f>
        <v>1.0806904882892</v>
      </c>
      <c r="R12" s="22" t="n">
        <f aca="false">Q12*(1-Premissas!$B$15)+R10</f>
        <v>1.14642426457357</v>
      </c>
      <c r="S12" s="22" t="n">
        <f aca="false">R12*(1-Premissas!$B$15)+S10</f>
        <v>1.20994311906214</v>
      </c>
      <c r="T12" s="22" t="n">
        <f aca="false">S12*(1-Premissas!$B$15)+T10</f>
        <v>1.27148512110471</v>
      </c>
      <c r="U12" s="22" t="n">
        <f aca="false">T12*(1-Premissas!$B$15)+U10</f>
        <v>1.33127051201523</v>
      </c>
      <c r="V12" s="22" t="n">
        <f aca="false">U12*(1-Premissas!$B$15)+V10</f>
        <v>1.38950315566488</v>
      </c>
      <c r="W12" s="22" t="n">
        <f aca="false">V12*(1-Premissas!$B$15)+W10</f>
        <v>1.44637187351478</v>
      </c>
      <c r="X12" s="22" t="n">
        <f aca="false">W12*(1-Premissas!$B$15)+X10</f>
        <v>1.50205167334275</v>
      </c>
      <c r="Y12" s="22" t="n">
        <f aca="false">X12*(1-Premissas!$B$15)+Y10</f>
        <v>1.55670488017867</v>
      </c>
      <c r="Z12" s="22" t="n">
        <f aca="false">Y12*(1-Premissas!$B$15)+Z10</f>
        <v>1.61048217728178</v>
      </c>
      <c r="AA12" s="22" t="n">
        <f aca="false">Z12*(1-Premissas!$B$15)+AA10</f>
        <v>1.66352356436699</v>
      </c>
      <c r="AB12" s="22" t="n">
        <f aca="false">AA12*(1-Premissas!$B$15)+AB10</f>
        <v>1.71595923971073</v>
      </c>
      <c r="AC12" s="22" t="n">
        <f aca="false">AB12*(1-Premissas!$B$15)+AC10</f>
        <v>1.76791041223684</v>
      </c>
      <c r="AD12" s="22" t="n">
        <f aca="false">AC12*(1-Premissas!$B$15)+AD10</f>
        <v>1.81949004919492</v>
      </c>
      <c r="AE12" s="22" t="n">
        <f aca="false">AD12*(1-Premissas!$B$15)+AE10</f>
        <v>1.8708035645951</v>
      </c>
      <c r="AF12" s="22" t="n">
        <f aca="false">AE12*(1-Premissas!$B$15)+AF10</f>
        <v>1.92194945314997</v>
      </c>
      <c r="AG12" s="22" t="n">
        <f aca="false">AF12*(1-Premissas!$B$15)+AG10</f>
        <v>1.97301987409491</v>
      </c>
      <c r="AH12" s="22" t="n">
        <f aca="false">AG12*(1-Premissas!$B$15)+AH10</f>
        <v>2.02410118890819</v>
      </c>
      <c r="AI12" s="22" t="n">
        <f aca="false">AH12*(1-Premissas!$B$15)+AI10</f>
        <v>2.07527445663122</v>
      </c>
      <c r="AJ12" s="22" t="n">
        <f aca="false">AI12*(1-Premissas!$B$15)+AJ10</f>
        <v>2.12661589019312</v>
      </c>
      <c r="AK12" s="22" t="n">
        <f aca="false">AJ12*(1-Premissas!$B$15)+AK10</f>
        <v>2.17819727687192</v>
      </c>
      <c r="AL12" s="22" t="n">
        <f aca="false">AK12*(1-Premissas!$B$15)+AL10</f>
        <v>2.23008636577431</v>
      </c>
      <c r="AM12" s="22" t="n">
        <f aca="false">AL12*(1-Premissas!$B$15)+AM10</f>
        <v>2.28234722498554</v>
      </c>
      <c r="AN12" s="22" t="n">
        <f aca="false">AM12*(1-Premissas!$B$15)+AN10</f>
        <v>2.33504057082934</v>
      </c>
      <c r="AO12" s="22" t="n">
        <f aca="false">AN12*(1-Premissas!$B$15)+AO10</f>
        <v>2.38822407148249</v>
      </c>
      <c r="AP12" s="22" t="n">
        <f aca="false">AO12*(1-Premissas!$B$15)+AP10</f>
        <v>2.44195262700977</v>
      </c>
      <c r="AQ12" s="22" t="n">
        <f aca="false">AP12*(1-Premissas!$B$15)+AQ10</f>
        <v>2.49627862771979</v>
      </c>
      <c r="AR12" s="22" t="n">
        <f aca="false">AQ12*(1-Premissas!$B$15)+AR10</f>
        <v>2.55125219259043</v>
      </c>
      <c r="AS12" s="22" t="n">
        <f aca="false">AR12*(1-Premissas!$B$15)+AS10</f>
        <v>2.60692138937318</v>
      </c>
      <c r="AT12" s="22" t="n">
        <f aca="false">AS12*(1-Premissas!$B$15)+AT10</f>
        <v>2.66333243785711</v>
      </c>
      <c r="AU12" s="22" t="n">
        <f aca="false">AT12*(1-Premissas!$B$15)+AU10</f>
        <v>2.720529897655</v>
      </c>
      <c r="AV12" s="22" t="n">
        <f aca="false">AU12*(1-Premissas!$B$15)+AV10</f>
        <v>2.77855684176558</v>
      </c>
      <c r="AW12" s="22" t="n">
        <f aca="false">AV12*(1-Premissas!$B$15)+AW10</f>
        <v>2.83745501706578</v>
      </c>
      <c r="AX12" s="22" t="n">
        <f aca="false">AW12*(1-Premissas!$B$15)+AX10</f>
        <v>2.8972649927948</v>
      </c>
      <c r="AY12" s="22" t="n">
        <f aca="false">AX12*(1-Premissas!$B$15)+AY10</f>
        <v>2.95802629800737</v>
      </c>
      <c r="AZ12" s="22" t="n">
        <f aca="false">AY12*(1-Premissas!$B$15)+AZ10</f>
        <v>3.01977754889567</v>
      </c>
      <c r="BA12" s="22" t="n">
        <f aca="false">AZ12*(1-Premissas!$B$15)+BA10</f>
        <v>3.08255656680748</v>
      </c>
      <c r="BB12" s="22" t="n">
        <f aca="false">BA12*(1-Premissas!$B$15)+BB10</f>
        <v>3.14640048772281</v>
      </c>
      <c r="BC12" s="22" t="n">
        <f aca="false">BB12*(1-Premissas!$B$15)+BC10</f>
        <v>3.21134586389012</v>
      </c>
      <c r="BD12" s="22" t="n">
        <f aca="false">BC12*(1-Premissas!$B$15)+BD10</f>
        <v>3.27742875826774</v>
      </c>
      <c r="BE12" s="22" t="n">
        <f aca="false">BD12*(1-Premissas!$B$15)+BE10</f>
        <v>3.34468483236493</v>
      </c>
      <c r="BF12" s="22" t="n">
        <f aca="false">BE12*(1-Premissas!$B$15)+BF10</f>
        <v>3.41314942802952</v>
      </c>
      <c r="BG12" s="22" t="n">
        <f aca="false">BF12*(1-Premissas!$B$15)+BG10</f>
        <v>3.48285764368601</v>
      </c>
      <c r="BH12" s="22" t="n">
        <f aca="false">BG12*(1-Premissas!$B$15)+BH10</f>
        <v>3.55384440548797</v>
      </c>
      <c r="BI12" s="22" t="n">
        <f aca="false">BH12*(1-Premissas!$B$15)+BI10</f>
        <v>3.6261445338117</v>
      </c>
      <c r="BJ12" s="22" t="n">
        <f aca="false">BI12*(1-Premissas!$B$15)+BJ10</f>
        <v>3.69979280548479</v>
      </c>
      <c r="BK12" s="22" t="n">
        <f aca="false">BJ12*(1-Premissas!$B$15)+BK10</f>
        <v>3.77482401211159</v>
      </c>
    </row>
    <row r="13" customFormat="false" ht="15" hidden="false" customHeight="false" outlineLevel="0" collapsed="false">
      <c r="A13" s="13" t="s">
        <v>151</v>
      </c>
      <c r="B13" s="19" t="s">
        <v>144</v>
      </c>
      <c r="C13" s="23" t="n">
        <v>0</v>
      </c>
      <c r="D13" s="23" t="n">
        <f aca="false">D11+D12</f>
        <v>0</v>
      </c>
      <c r="E13" s="23" t="n">
        <f aca="false">E11+E12</f>
        <v>0</v>
      </c>
      <c r="F13" s="23" t="n">
        <f aca="false">F11+F12</f>
        <v>1.2</v>
      </c>
      <c r="G13" s="23" t="n">
        <f aca="false">G11+G12</f>
        <v>2.328</v>
      </c>
      <c r="H13" s="23" t="n">
        <f aca="false">H11+H12</f>
        <v>3.39024</v>
      </c>
      <c r="I13" s="23" t="n">
        <f aca="false">I11+I12</f>
        <v>4.3924704</v>
      </c>
      <c r="J13" s="23" t="n">
        <f aca="false">J11+J12</f>
        <v>5.33999136</v>
      </c>
      <c r="K13" s="23" t="n">
        <f aca="false">K11+K12</f>
        <v>6.23768901504</v>
      </c>
      <c r="L13" s="23" t="n">
        <f aca="false">L11+L12</f>
        <v>7.0900687969536</v>
      </c>
      <c r="M13" s="23" t="n">
        <f aca="false">M11+M12</f>
        <v>7.90128609437645</v>
      </c>
      <c r="N13" s="23" t="n">
        <f aca="false">N11+N12</f>
        <v>8.67517446402905</v>
      </c>
      <c r="O13" s="23" t="n">
        <f aca="false">O11+O12</f>
        <v>9.4152715892535</v>
      </c>
      <c r="P13" s="23" t="n">
        <f aca="false">P11+P12</f>
        <v>10.1248431661069</v>
      </c>
      <c r="Q13" s="23" t="n">
        <f aca="false">Q11+Q12</f>
        <v>10.806904882892</v>
      </c>
      <c r="R13" s="23" t="n">
        <f aca="false">R11+R12</f>
        <v>11.4642426457357</v>
      </c>
      <c r="S13" s="23" t="n">
        <f aca="false">S11+S12</f>
        <v>12.0994311906214</v>
      </c>
      <c r="T13" s="23" t="n">
        <f aca="false">T11+T12</f>
        <v>12.7148512110471</v>
      </c>
      <c r="U13" s="23" t="n">
        <f aca="false">U11+U12</f>
        <v>13.3127051201523</v>
      </c>
      <c r="V13" s="23" t="n">
        <f aca="false">V11+V12</f>
        <v>13.8950315566488</v>
      </c>
      <c r="W13" s="23" t="n">
        <f aca="false">W11+W12</f>
        <v>14.4637187351478</v>
      </c>
      <c r="X13" s="23" t="n">
        <f aca="false">X11+X12</f>
        <v>15.0205167334275</v>
      </c>
      <c r="Y13" s="23" t="n">
        <f aca="false">Y11+Y12</f>
        <v>15.5670488017867</v>
      </c>
      <c r="Z13" s="23" t="n">
        <f aca="false">Z11+Z12</f>
        <v>16.1048217728178</v>
      </c>
      <c r="AA13" s="23" t="n">
        <f aca="false">AA11+AA12</f>
        <v>16.6352356436699</v>
      </c>
      <c r="AB13" s="23" t="n">
        <f aca="false">AB11+AB12</f>
        <v>17.1595923971073</v>
      </c>
      <c r="AC13" s="23" t="n">
        <f aca="false">AC11+AC12</f>
        <v>17.6791041223684</v>
      </c>
      <c r="AD13" s="23" t="n">
        <f aca="false">AD11+AD12</f>
        <v>18.1949004919492</v>
      </c>
      <c r="AE13" s="23" t="n">
        <f aca="false">AE11+AE12</f>
        <v>18.708035645951</v>
      </c>
      <c r="AF13" s="23" t="n">
        <f aca="false">AF11+AF12</f>
        <v>19.2194945314997</v>
      </c>
      <c r="AG13" s="23" t="n">
        <f aca="false">AG11+AG12</f>
        <v>19.7301987409491</v>
      </c>
      <c r="AH13" s="23" t="n">
        <f aca="false">AH11+AH12</f>
        <v>20.2410118890819</v>
      </c>
      <c r="AI13" s="23" t="n">
        <f aca="false">AI11+AI12</f>
        <v>20.7527445663122</v>
      </c>
      <c r="AJ13" s="23" t="n">
        <f aca="false">AJ11+AJ12</f>
        <v>21.2661589019312</v>
      </c>
      <c r="AK13" s="23" t="n">
        <f aca="false">AK11+AK12</f>
        <v>21.7819727687193</v>
      </c>
      <c r="AL13" s="23" t="n">
        <f aca="false">AL11+AL12</f>
        <v>22.3008636577431</v>
      </c>
      <c r="AM13" s="23" t="n">
        <f aca="false">AM11+AM12</f>
        <v>22.8234722498554</v>
      </c>
      <c r="AN13" s="23" t="n">
        <f aca="false">AN11+AN12</f>
        <v>23.3504057082934</v>
      </c>
      <c r="AO13" s="23" t="n">
        <f aca="false">AO11+AO12</f>
        <v>23.8822407148249</v>
      </c>
      <c r="AP13" s="23" t="n">
        <f aca="false">AP11+AP12</f>
        <v>24.4195262700977</v>
      </c>
      <c r="AQ13" s="23" t="n">
        <f aca="false">AQ11+AQ12</f>
        <v>24.9627862771979</v>
      </c>
      <c r="AR13" s="23" t="n">
        <f aca="false">AR11+AR12</f>
        <v>25.5125219259043</v>
      </c>
      <c r="AS13" s="23" t="n">
        <f aca="false">AS11+AS12</f>
        <v>26.0692138937318</v>
      </c>
      <c r="AT13" s="23" t="n">
        <f aca="false">AT11+AT12</f>
        <v>26.6333243785711</v>
      </c>
      <c r="AU13" s="23" t="n">
        <f aca="false">AU11+AU12</f>
        <v>27.20529897655</v>
      </c>
      <c r="AV13" s="23" t="n">
        <f aca="false">AV11+AV12</f>
        <v>27.7855684176558</v>
      </c>
      <c r="AW13" s="23" t="n">
        <f aca="false">AW11+AW12</f>
        <v>28.3745501706578</v>
      </c>
      <c r="AX13" s="23" t="n">
        <f aca="false">AX11+AX12</f>
        <v>28.972649927948</v>
      </c>
      <c r="AY13" s="23" t="n">
        <f aca="false">AY11+AY12</f>
        <v>29.5802629800737</v>
      </c>
      <c r="AZ13" s="23" t="n">
        <f aca="false">AZ11+AZ12</f>
        <v>30.1977754889567</v>
      </c>
      <c r="BA13" s="23" t="n">
        <f aca="false">BA11+BA12</f>
        <v>30.8255656680748</v>
      </c>
      <c r="BB13" s="23" t="n">
        <f aca="false">BB11+BB12</f>
        <v>31.4640048772281</v>
      </c>
      <c r="BC13" s="23" t="n">
        <f aca="false">BC11+BC12</f>
        <v>32.1134586389012</v>
      </c>
      <c r="BD13" s="23" t="n">
        <f aca="false">BD11+BD12</f>
        <v>32.7742875826774</v>
      </c>
      <c r="BE13" s="23" t="n">
        <f aca="false">BE11+BE12</f>
        <v>33.4468483236493</v>
      </c>
      <c r="BF13" s="23" t="n">
        <f aca="false">BF11+BF12</f>
        <v>34.1314942802952</v>
      </c>
      <c r="BG13" s="23" t="n">
        <f aca="false">BG11+BG12</f>
        <v>34.8285764368601</v>
      </c>
      <c r="BH13" s="23" t="n">
        <f aca="false">BH11+BH12</f>
        <v>35.5384440548797</v>
      </c>
      <c r="BI13" s="23" t="n">
        <f aca="false">BI11+BI12</f>
        <v>36.261445338117</v>
      </c>
      <c r="BJ13" s="23" t="n">
        <f aca="false">BJ11+BJ12</f>
        <v>36.9979280548479</v>
      </c>
      <c r="BK13" s="23" t="n">
        <f aca="false">BK11+BK12</f>
        <v>37.748240121116</v>
      </c>
    </row>
    <row r="14" customFormat="false" ht="15" hidden="false" customHeight="false" outlineLevel="0" collapsed="false">
      <c r="A14" s="13" t="s">
        <v>152</v>
      </c>
      <c r="B14" s="19" t="s">
        <v>144</v>
      </c>
      <c r="C14" s="23" t="n">
        <v>0</v>
      </c>
      <c r="D14" s="23" t="n">
        <f aca="false">D8+D13</f>
        <v>40</v>
      </c>
      <c r="E14" s="23" t="n">
        <f aca="false">E8+E13</f>
        <v>74.8</v>
      </c>
      <c r="F14" s="23" t="n">
        <f aca="false">F8+F13</f>
        <v>105.196</v>
      </c>
      <c r="G14" s="23" t="n">
        <f aca="false">G8+G13</f>
        <v>131.94892</v>
      </c>
      <c r="H14" s="23" t="n">
        <f aca="false">H8+H13</f>
        <v>155.6168284</v>
      </c>
      <c r="I14" s="23" t="n">
        <f aca="false">I8+I13</f>
        <v>176.674853068</v>
      </c>
      <c r="J14" s="23" t="n">
        <f aca="false">J8+J13</f>
        <v>195.52759480636</v>
      </c>
      <c r="K14" s="23" t="n">
        <f aca="false">K8+K13</f>
        <v>212.519681686577</v>
      </c>
      <c r="L14" s="23" t="n">
        <f aca="false">L8+L13</f>
        <v>227.944742904734</v>
      </c>
      <c r="M14" s="23" t="n">
        <f aca="false">M8+M13</f>
        <v>242.053039029703</v>
      </c>
      <c r="N14" s="23" t="n">
        <f aca="false">N8+N13</f>
        <v>255.057950001644</v>
      </c>
      <c r="O14" s="23" t="n">
        <f aca="false">O8+O13</f>
        <v>267.141492049666</v>
      </c>
      <c r="P14" s="23" t="n">
        <f aca="false">P8+P13</f>
        <v>278.459009035966</v>
      </c>
      <c r="Q14" s="23" t="n">
        <f aca="false">Q8+Q13</f>
        <v>289.14316192035</v>
      </c>
      <c r="R14" s="23" t="n">
        <f aca="false">R8+R13</f>
        <v>299.307321496615</v>
      </c>
      <c r="S14" s="23" t="n">
        <f aca="false">S8+S13</f>
        <v>309.048453790289</v>
      </c>
      <c r="T14" s="23" t="n">
        <f aca="false">T8+T13</f>
        <v>318.449574108714</v>
      </c>
      <c r="U14" s="23" t="n">
        <f aca="false">U8+U13</f>
        <v>327.581834344877</v>
      </c>
      <c r="V14" s="23" t="n">
        <f aca="false">V8+V13</f>
        <v>336.506298454607</v>
      </c>
      <c r="W14" s="23" t="n">
        <f aca="false">W8+W13</f>
        <v>345.275452796493</v>
      </c>
      <c r="X14" s="23" t="n">
        <f aca="false">X8+X13</f>
        <v>353.934491027614</v>
      </c>
      <c r="Y14" s="23" t="n">
        <f aca="false">Y8+Y13</f>
        <v>362.522407300729</v>
      </c>
      <c r="Z14" s="23" t="n">
        <f aca="false">Z8+Z13</f>
        <v>371.07292645278</v>
      </c>
      <c r="AA14" s="23" t="n">
        <f aca="false">AA8+AA13</f>
        <v>379.615295576616</v>
      </c>
      <c r="AB14" s="23" t="n">
        <f aca="false">AB8+AB13</f>
        <v>388.174957714189</v>
      </c>
      <c r="AC14" s="23" t="n">
        <f aca="false">AC8+AC13</f>
        <v>396.774125303448</v>
      </c>
      <c r="AD14" s="23" t="n">
        <f aca="false">AD8+AD13</f>
        <v>405.432268370657</v>
      </c>
      <c r="AE14" s="23" t="n">
        <f aca="false">AE8+AE13</f>
        <v>414.166530215139</v>
      </c>
      <c r="AF14" s="23" t="n">
        <f aca="false">AF8+AF13</f>
        <v>422.992081425042</v>
      </c>
      <c r="AG14" s="23" t="n">
        <f aca="false">AG8+AG13</f>
        <v>431.922421440387</v>
      </c>
      <c r="AH14" s="23" t="n">
        <f aca="false">AH8+AH13</f>
        <v>440.96963550033</v>
      </c>
      <c r="AI14" s="23" t="n">
        <f aca="false">AI8+AI13</f>
        <v>450.144613638933</v>
      </c>
      <c r="AJ14" s="23" t="n">
        <f aca="false">AJ8+AJ13</f>
        <v>459.45723739678</v>
      </c>
      <c r="AK14" s="23" t="n">
        <f aca="false">AK8+AK13</f>
        <v>468.916539068124</v>
      </c>
      <c r="AL14" s="23" t="n">
        <f aca="false">AL8+AL13</f>
        <v>478.530837582597</v>
      </c>
      <c r="AM14" s="23" t="n">
        <f aca="false">AM8+AM13</f>
        <v>488.307854507747</v>
      </c>
      <c r="AN14" s="23" t="n">
        <f aca="false">AN8+AN13</f>
        <v>498.254813137703</v>
      </c>
      <c r="AO14" s="23" t="n">
        <f aca="false">AO8+AO13</f>
        <v>508.378523190229</v>
      </c>
      <c r="AP14" s="23" t="n">
        <f aca="false">AP8+AP13</f>
        <v>518.685453257805</v>
      </c>
      <c r="AQ14" s="23" t="n">
        <f aca="false">AQ8+AQ13</f>
        <v>529.181792838036</v>
      </c>
      <c r="AR14" s="23" t="n">
        <f aca="false">AR8+AR13</f>
        <v>539.873505496328</v>
      </c>
      <c r="AS14" s="23" t="n">
        <f aca="false">AS8+AS13</f>
        <v>550.766374482178</v>
      </c>
      <c r="AT14" s="23" t="n">
        <f aca="false">AT8+AT13</f>
        <v>561.866041923409</v>
      </c>
      <c r="AU14" s="23" t="n">
        <f aca="false">AU8+AU13</f>
        <v>573.178042555213</v>
      </c>
      <c r="AV14" s="23" t="n">
        <f aca="false">AV8+AV13</f>
        <v>584.707832798381</v>
      </c>
      <c r="AW14" s="23" t="n">
        <f aca="false">AW8+AW13</f>
        <v>596.460815879914</v>
      </c>
      <c r="AX14" s="23" t="n">
        <f aca="false">AX8+AX13</f>
        <v>608.442363586168</v>
      </c>
      <c r="AY14" s="23" t="n">
        <f aca="false">AY8+AY13</f>
        <v>620.65783515102</v>
      </c>
      <c r="AZ14" s="23" t="n">
        <f aca="false">AZ8+AZ13</f>
        <v>633.112593706949</v>
      </c>
      <c r="BA14" s="23" t="n">
        <f aca="false">BA8+BA13</f>
        <v>645.81202066351</v>
      </c>
      <c r="BB14" s="23" t="n">
        <f aca="false">BB8+BB13</f>
        <v>658.761528323693</v>
      </c>
      <c r="BC14" s="23" t="n">
        <f aca="false">BC8+BC13</f>
        <v>671.966571002748</v>
      </c>
      <c r="BD14" s="23" t="n">
        <f aca="false">BD8+BD13</f>
        <v>685.432654874986</v>
      </c>
      <c r="BE14" s="23" t="n">
        <f aca="false">BE8+BE13</f>
        <v>699.165346740812</v>
      </c>
      <c r="BF14" s="23" t="n">
        <f aca="false">BF8+BF13</f>
        <v>713.170281877957</v>
      </c>
      <c r="BG14" s="23" t="n">
        <f aca="false">BG8+BG13</f>
        <v>727.453171116808</v>
      </c>
      <c r="BH14" s="23" t="n">
        <f aca="false">BH8+BH13</f>
        <v>742.019807259209</v>
      </c>
      <c r="BI14" s="23" t="n">
        <f aca="false">BI8+BI13</f>
        <v>756.876070942698</v>
      </c>
      <c r="BJ14" s="23" t="n">
        <f aca="false">BJ8+BJ13</f>
        <v>772.027936037261</v>
      </c>
      <c r="BK14" s="23" t="n">
        <f aca="false">BK8+BK13</f>
        <v>787.481474649057</v>
      </c>
    </row>
    <row r="16" customFormat="false" ht="15" hidden="false" customHeight="false" outlineLevel="0" collapsed="false">
      <c r="A16" s="12" t="s">
        <v>153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</row>
    <row r="17" customFormat="false" ht="15" hidden="false" customHeight="false" outlineLevel="0" collapsed="false">
      <c r="A17" s="9" t="s">
        <v>154</v>
      </c>
      <c r="B17" s="19" t="s">
        <v>155</v>
      </c>
      <c r="C17" s="22" t="n">
        <v>0</v>
      </c>
      <c r="D17" s="22" t="n">
        <f aca="false">D11*Premissas!$B$5</f>
        <v>0</v>
      </c>
      <c r="E17" s="22" t="n">
        <f aca="false">E11*Premissas!$B$5</f>
        <v>0</v>
      </c>
      <c r="F17" s="22" t="n">
        <f aca="false">F11*Premissas!$B$5</f>
        <v>214.92</v>
      </c>
      <c r="G17" s="22" t="n">
        <f aca="false">G11*Premissas!$B$5</f>
        <v>416.9448</v>
      </c>
      <c r="H17" s="22" t="n">
        <f aca="false">H11*Premissas!$B$5</f>
        <v>607.191984</v>
      </c>
      <c r="I17" s="22" t="n">
        <f aca="false">I11*Premissas!$B$5</f>
        <v>786.69144864</v>
      </c>
      <c r="J17" s="22" t="n">
        <f aca="false">J11*Premissas!$B$5</f>
        <v>956.392452576</v>
      </c>
      <c r="K17" s="22" t="n">
        <f aca="false">K11*Premissas!$B$5</f>
        <v>1117.17010259366</v>
      </c>
      <c r="L17" s="22" t="n">
        <f aca="false">L11*Premissas!$B$5</f>
        <v>1269.83132153439</v>
      </c>
      <c r="M17" s="22" t="n">
        <f aca="false">M11*Premissas!$B$5</f>
        <v>1415.12033950282</v>
      </c>
      <c r="N17" s="22" t="n">
        <f aca="false">N11*Premissas!$B$5</f>
        <v>1553.7237465076</v>
      </c>
      <c r="O17" s="22" t="n">
        <f aca="false">O11*Premissas!$B$5</f>
        <v>1686.2751416353</v>
      </c>
      <c r="P17" s="22" t="n">
        <f aca="false">P11*Premissas!$B$5</f>
        <v>1813.35941104975</v>
      </c>
      <c r="Q17" s="22" t="n">
        <f aca="false">Q11*Premissas!$B$5</f>
        <v>1935.51666452595</v>
      </c>
      <c r="R17" s="22" t="n">
        <f aca="false">R11*Premissas!$B$5</f>
        <v>2053.24585785126</v>
      </c>
      <c r="S17" s="22" t="n">
        <f aca="false">S11*Premissas!$B$5</f>
        <v>2167.00812624029</v>
      </c>
      <c r="T17" s="22" t="n">
        <f aca="false">T11*Premissas!$B$5</f>
        <v>2277.22985189854</v>
      </c>
      <c r="U17" s="22" t="n">
        <f aca="false">U11*Premissas!$B$5</f>
        <v>2384.30548701927</v>
      </c>
      <c r="V17" s="22" t="n">
        <f aca="false">V11*Premissas!$B$5</f>
        <v>2488.60015179581</v>
      </c>
      <c r="W17" s="22" t="n">
        <f aca="false">W11*Premissas!$B$5</f>
        <v>2590.45202546498</v>
      </c>
      <c r="X17" s="22" t="n">
        <f aca="false">X11*Premissas!$B$5</f>
        <v>2690.17454695687</v>
      </c>
      <c r="Y17" s="22" t="n">
        <f aca="false">Y11*Premissas!$B$5</f>
        <v>2788.0584404</v>
      </c>
      <c r="Z17" s="22" t="n">
        <f aca="false">Z11*Premissas!$B$5</f>
        <v>2884.37357951167</v>
      </c>
      <c r="AA17" s="22" t="n">
        <f aca="false">AA11*Premissas!$B$5</f>
        <v>2979.37070378127</v>
      </c>
      <c r="AB17" s="22" t="n">
        <f aca="false">AB11*Premissas!$B$5</f>
        <v>3073.28299832192</v>
      </c>
      <c r="AC17" s="22" t="n">
        <f aca="false">AC11*Premissas!$B$5</f>
        <v>3166.32754831619</v>
      </c>
      <c r="AD17" s="22" t="n">
        <f aca="false">AD11*Premissas!$B$5</f>
        <v>3258.70667810811</v>
      </c>
      <c r="AE17" s="22" t="n">
        <f aca="false">AE11*Premissas!$B$5</f>
        <v>3350.60918418982</v>
      </c>
      <c r="AF17" s="22" t="n">
        <f aca="false">AF11*Premissas!$B$5</f>
        <v>3442.2114705916</v>
      </c>
      <c r="AG17" s="22" t="n">
        <f aca="false">AG11*Premissas!$B$5</f>
        <v>3533.67859450398</v>
      </c>
      <c r="AH17" s="22" t="n">
        <f aca="false">AH11*Premissas!$B$5</f>
        <v>3625.16522933456</v>
      </c>
      <c r="AI17" s="22" t="n">
        <f aca="false">AI11*Premissas!$B$5</f>
        <v>3716.81655182651</v>
      </c>
      <c r="AJ17" s="22" t="n">
        <f aca="false">AJ11*Premissas!$B$5</f>
        <v>3808.76905933589</v>
      </c>
      <c r="AK17" s="22" t="n">
        <f aca="false">AK11*Premissas!$B$5</f>
        <v>3901.15132287762</v>
      </c>
      <c r="AL17" s="22" t="n">
        <f aca="false">AL11*Premissas!$B$5</f>
        <v>3994.08468110178</v>
      </c>
      <c r="AM17" s="22" t="n">
        <f aca="false">AM11*Premissas!$B$5</f>
        <v>4087.6838799491</v>
      </c>
      <c r="AN17" s="22" t="n">
        <f aca="false">AN11*Premissas!$B$5</f>
        <v>4182.05766235535</v>
      </c>
      <c r="AO17" s="22" t="n">
        <f aca="false">AO11*Premissas!$B$5</f>
        <v>4277.30931202514</v>
      </c>
      <c r="AP17" s="22" t="n">
        <f aca="false">AP11*Premissas!$B$5</f>
        <v>4373.5371549745</v>
      </c>
      <c r="AQ17" s="22" t="n">
        <f aca="false">AQ11*Premissas!$B$5</f>
        <v>4470.83502224615</v>
      </c>
      <c r="AR17" s="22" t="n">
        <f aca="false">AR11*Premissas!$B$5</f>
        <v>4569.29267692946</v>
      </c>
      <c r="AS17" s="22" t="n">
        <f aca="false">AS11*Premissas!$B$5</f>
        <v>4668.99620836736</v>
      </c>
      <c r="AT17" s="22" t="n">
        <f aca="false">AT11*Premissas!$B$5</f>
        <v>4770.02839620208</v>
      </c>
      <c r="AU17" s="22" t="n">
        <f aca="false">AU11*Premissas!$B$5</f>
        <v>4872.4690467001</v>
      </c>
      <c r="AV17" s="22" t="n">
        <f aca="false">AV11*Premissas!$B$5</f>
        <v>4976.39530360216</v>
      </c>
      <c r="AW17" s="22" t="n">
        <f aca="false">AW11*Premissas!$B$5</f>
        <v>5081.88193556482</v>
      </c>
      <c r="AX17" s="22" t="n">
        <f aca="false">AX11*Premissas!$B$5</f>
        <v>5189.00160209548</v>
      </c>
      <c r="AY17" s="22" t="n">
        <f aca="false">AY11*Premissas!$B$5</f>
        <v>5297.82509973121</v>
      </c>
      <c r="AZ17" s="22" t="n">
        <f aca="false">AZ11*Premissas!$B$5</f>
        <v>5408.42159007214</v>
      </c>
      <c r="BA17" s="22" t="n">
        <f aca="false">BA11*Premissas!$B$5</f>
        <v>5520.85881115219</v>
      </c>
      <c r="BB17" s="22" t="n">
        <f aca="false">BB11*Premissas!$B$5</f>
        <v>5635.20327351156</v>
      </c>
      <c r="BC17" s="22" t="n">
        <f aca="false">BC11*Premissas!$B$5</f>
        <v>5751.5204422272</v>
      </c>
      <c r="BD17" s="22" t="n">
        <f aca="false">BD11*Premissas!$B$5</f>
        <v>5869.87490605752</v>
      </c>
      <c r="BE17" s="22" t="n">
        <f aca="false">BE11*Premissas!$B$5</f>
        <v>5990.33053476559</v>
      </c>
      <c r="BF17" s="22" t="n">
        <f aca="false">BF11*Premissas!$B$5</f>
        <v>6112.95062560087</v>
      </c>
      <c r="BG17" s="22" t="n">
        <f aca="false">BG11*Premissas!$B$5</f>
        <v>6237.79803984165</v>
      </c>
      <c r="BH17" s="22" t="n">
        <f aca="false">BH11*Premissas!$B$5</f>
        <v>6364.93533022895</v>
      </c>
      <c r="BI17" s="22" t="n">
        <f aca="false">BI11*Premissas!$B$5</f>
        <v>6494.42486005676</v>
      </c>
      <c r="BJ17" s="22" t="n">
        <f aca="false">BJ11*Premissas!$B$5</f>
        <v>6626.32891462326</v>
      </c>
      <c r="BK17" s="22" t="n">
        <f aca="false">BK11*Premissas!$B$5</f>
        <v>6760.70980569187</v>
      </c>
    </row>
    <row r="18" customFormat="false" ht="15" hidden="false" customHeight="false" outlineLevel="0" collapsed="false">
      <c r="A18" s="9" t="s">
        <v>156</v>
      </c>
      <c r="B18" s="19" t="s">
        <v>155</v>
      </c>
      <c r="C18" s="22" t="n">
        <v>0</v>
      </c>
      <c r="D18" s="22" t="n">
        <f aca="false">D12*Premissas!$B$6</f>
        <v>0</v>
      </c>
      <c r="E18" s="22" t="n">
        <f aca="false">E12*Premissas!$B$6</f>
        <v>0</v>
      </c>
      <c r="F18" s="22" t="n">
        <f aca="false">F12*Premissas!$B$6</f>
        <v>47.88</v>
      </c>
      <c r="G18" s="22" t="n">
        <f aca="false">G12*Premissas!$B$6</f>
        <v>92.8872</v>
      </c>
      <c r="H18" s="22" t="n">
        <f aca="false">H12*Premissas!$B$6</f>
        <v>135.270576</v>
      </c>
      <c r="I18" s="22" t="n">
        <f aca="false">I12*Premissas!$B$6</f>
        <v>175.25956896</v>
      </c>
      <c r="J18" s="22" t="n">
        <f aca="false">J12*Premissas!$B$6</f>
        <v>213.065655264</v>
      </c>
      <c r="K18" s="22" t="n">
        <f aca="false">K12*Premissas!$B$6</f>
        <v>248.883791700096</v>
      </c>
      <c r="L18" s="22" t="n">
        <f aca="false">L12*Premissas!$B$6</f>
        <v>282.893744998449</v>
      </c>
      <c r="M18" s="22" t="n">
        <f aca="false">M12*Premissas!$B$6</f>
        <v>315.26131516562</v>
      </c>
      <c r="N18" s="22" t="n">
        <f aca="false">N12*Premissas!$B$6</f>
        <v>346.139461114759</v>
      </c>
      <c r="O18" s="22" t="n">
        <f aca="false">O12*Premissas!$B$6</f>
        <v>375.669336411215</v>
      </c>
      <c r="P18" s="22" t="n">
        <f aca="false">P12*Premissas!$B$6</f>
        <v>403.981242327666</v>
      </c>
      <c r="Q18" s="22" t="n">
        <f aca="false">Q12*Premissas!$B$6</f>
        <v>431.195504827389</v>
      </c>
      <c r="R18" s="22" t="n">
        <f aca="false">R12*Premissas!$B$6</f>
        <v>457.423281564853</v>
      </c>
      <c r="S18" s="22" t="n">
        <f aca="false">S12*Premissas!$B$6</f>
        <v>482.767304505792</v>
      </c>
      <c r="T18" s="22" t="n">
        <f aca="false">T12*Premissas!$B$6</f>
        <v>507.322563320779</v>
      </c>
      <c r="U18" s="22" t="n">
        <f aca="false">U12*Premissas!$B$6</f>
        <v>531.176934294076</v>
      </c>
      <c r="V18" s="22" t="n">
        <f aca="false">V12*Premissas!$B$6</f>
        <v>554.411759110289</v>
      </c>
      <c r="W18" s="22" t="n">
        <f aca="false">W12*Premissas!$B$6</f>
        <v>577.102377532399</v>
      </c>
      <c r="X18" s="22" t="n">
        <f aca="false">X12*Premissas!$B$6</f>
        <v>599.318617663759</v>
      </c>
      <c r="Y18" s="22" t="n">
        <f aca="false">Y12*Premissas!$B$6</f>
        <v>621.125247191289</v>
      </c>
      <c r="Z18" s="22" t="n">
        <f aca="false">Z12*Premissas!$B$6</f>
        <v>642.58238873543</v>
      </c>
      <c r="AA18" s="22" t="n">
        <f aca="false">AA12*Premissas!$B$6</f>
        <v>663.745902182428</v>
      </c>
      <c r="AB18" s="22" t="n">
        <f aca="false">AB12*Premissas!$B$6</f>
        <v>684.667736644583</v>
      </c>
      <c r="AC18" s="22" t="n">
        <f aca="false">AC12*Premissas!$B$6</f>
        <v>705.3962544825</v>
      </c>
      <c r="AD18" s="22" t="n">
        <f aca="false">AD12*Premissas!$B$6</f>
        <v>725.976529628774</v>
      </c>
      <c r="AE18" s="22" t="n">
        <f aca="false">AE12*Premissas!$B$6</f>
        <v>746.450622273443</v>
      </c>
      <c r="AF18" s="22" t="n">
        <f aca="false">AF12*Premissas!$B$6</f>
        <v>766.857831806839</v>
      </c>
      <c r="AG18" s="22" t="n">
        <f aca="false">AG12*Premissas!$B$6</f>
        <v>787.234929763868</v>
      </c>
      <c r="AH18" s="22" t="n">
        <f aca="false">AH12*Premissas!$B$6</f>
        <v>807.616374374366</v>
      </c>
      <c r="AI18" s="22" t="n">
        <f aca="false">AI12*Premissas!$B$6</f>
        <v>828.034508195856</v>
      </c>
      <c r="AJ18" s="22" t="n">
        <f aca="false">AJ12*Premissas!$B$6</f>
        <v>848.519740187056</v>
      </c>
      <c r="AK18" s="22" t="n">
        <f aca="false">AK12*Premissas!$B$6</f>
        <v>869.100713471898</v>
      </c>
      <c r="AL18" s="22" t="n">
        <f aca="false">AL12*Premissas!$B$6</f>
        <v>889.804459943948</v>
      </c>
      <c r="AM18" s="22" t="n">
        <f aca="false">AM12*Premissas!$B$6</f>
        <v>910.656542769231</v>
      </c>
      <c r="AN18" s="22" t="n">
        <f aca="false">AN12*Premissas!$B$6</f>
        <v>931.681187760906</v>
      </c>
      <c r="AO18" s="22" t="n">
        <f aca="false">AO12*Premissas!$B$6</f>
        <v>952.901404521512</v>
      </c>
      <c r="AP18" s="22" t="n">
        <f aca="false">AP12*Premissas!$B$6</f>
        <v>974.339098176899</v>
      </c>
      <c r="AQ18" s="22" t="n">
        <f aca="false">AQ12*Premissas!$B$6</f>
        <v>996.015172460197</v>
      </c>
      <c r="AR18" s="22" t="n">
        <f aca="false">AR12*Premissas!$B$6</f>
        <v>1017.94962484358</v>
      </c>
      <c r="AS18" s="22" t="n">
        <f aca="false">AS12*Premissas!$B$6</f>
        <v>1040.1616343599</v>
      </c>
      <c r="AT18" s="22" t="n">
        <f aca="false">AT12*Premissas!$B$6</f>
        <v>1062.66964270499</v>
      </c>
      <c r="AU18" s="22" t="n">
        <f aca="false">AU12*Premissas!$B$6</f>
        <v>1085.49142916434</v>
      </c>
      <c r="AV18" s="22" t="n">
        <f aca="false">AV12*Premissas!$B$6</f>
        <v>1108.64417986447</v>
      </c>
      <c r="AW18" s="22" t="n">
        <f aca="false">AW12*Premissas!$B$6</f>
        <v>1132.14455180925</v>
      </c>
      <c r="AX18" s="22" t="n">
        <f aca="false">AX12*Premissas!$B$6</f>
        <v>1156.00873212512</v>
      </c>
      <c r="AY18" s="22" t="n">
        <f aca="false">AY12*Premissas!$B$6</f>
        <v>1180.25249290494</v>
      </c>
      <c r="AZ18" s="22" t="n">
        <f aca="false">AZ12*Premissas!$B$6</f>
        <v>1204.89124200937</v>
      </c>
      <c r="BA18" s="22" t="n">
        <f aca="false">BA12*Premissas!$B$6</f>
        <v>1229.94007015618</v>
      </c>
      <c r="BB18" s="22" t="n">
        <f aca="false">BB12*Premissas!$B$6</f>
        <v>1255.4137946014</v>
      </c>
      <c r="BC18" s="22" t="n">
        <f aca="false">BC12*Premissas!$B$6</f>
        <v>1281.32699969216</v>
      </c>
      <c r="BD18" s="22" t="n">
        <f aca="false">BD12*Premissas!$B$6</f>
        <v>1307.69407454883</v>
      </c>
      <c r="BE18" s="22" t="n">
        <f aca="false">BE12*Premissas!$B$6</f>
        <v>1334.52924811361</v>
      </c>
      <c r="BF18" s="22" t="n">
        <f aca="false">BF12*Premissas!$B$6</f>
        <v>1361.84662178378</v>
      </c>
      <c r="BG18" s="22" t="n">
        <f aca="false">BG12*Premissas!$B$6</f>
        <v>1389.66019983072</v>
      </c>
      <c r="BH18" s="22" t="n">
        <f aca="false">BH12*Premissas!$B$6</f>
        <v>1417.9839177897</v>
      </c>
      <c r="BI18" s="22" t="n">
        <f aca="false">BI12*Premissas!$B$6</f>
        <v>1446.83166899087</v>
      </c>
      <c r="BJ18" s="22" t="n">
        <f aca="false">BJ12*Premissas!$B$6</f>
        <v>1476.21732938843</v>
      </c>
      <c r="BK18" s="22" t="n">
        <f aca="false">BK12*Premissas!$B$6</f>
        <v>1506.15478083253</v>
      </c>
    </row>
    <row r="19" customFormat="false" ht="15" hidden="false" customHeight="false" outlineLevel="0" collapsed="false">
      <c r="A19" s="9" t="s">
        <v>157</v>
      </c>
      <c r="B19" s="19" t="s">
        <v>158</v>
      </c>
      <c r="C19" s="24" t="n">
        <v>0</v>
      </c>
      <c r="D19" s="24" t="n">
        <f aca="false">D13*Premissas!$B$18</f>
        <v>0</v>
      </c>
      <c r="E19" s="24" t="n">
        <f aca="false">E13*Premissas!$B$18</f>
        <v>0</v>
      </c>
      <c r="F19" s="24" t="n">
        <f aca="false">F13*Premissas!$B$18</f>
        <v>3</v>
      </c>
      <c r="G19" s="24" t="n">
        <f aca="false">G13*Premissas!$B$18</f>
        <v>5.82</v>
      </c>
      <c r="H19" s="24" t="n">
        <f aca="false">H13*Premissas!$B$18</f>
        <v>8.4756</v>
      </c>
      <c r="I19" s="24" t="n">
        <f aca="false">I13*Premissas!$B$18</f>
        <v>10.981176</v>
      </c>
      <c r="J19" s="24" t="n">
        <f aca="false">J13*Premissas!$B$18</f>
        <v>13.3499784</v>
      </c>
      <c r="K19" s="24" t="n">
        <f aca="false">K13*Premissas!$B$18</f>
        <v>15.5942225376</v>
      </c>
      <c r="L19" s="24" t="n">
        <f aca="false">L13*Premissas!$B$18</f>
        <v>17.725171992384</v>
      </c>
      <c r="M19" s="24" t="n">
        <f aca="false">M13*Premissas!$B$18</f>
        <v>19.7532152359411</v>
      </c>
      <c r="N19" s="24" t="n">
        <f aca="false">N13*Premissas!$B$18</f>
        <v>21.6879361600726</v>
      </c>
      <c r="O19" s="24" t="n">
        <f aca="false">O13*Premissas!$B$18</f>
        <v>23.5381789731338</v>
      </c>
      <c r="P19" s="24" t="n">
        <f aca="false">P13*Premissas!$B$18</f>
        <v>25.3121079152673</v>
      </c>
      <c r="Q19" s="24" t="n">
        <f aca="false">Q13*Premissas!$B$18</f>
        <v>27.0172622072299</v>
      </c>
      <c r="R19" s="24" t="n">
        <f aca="false">R13*Premissas!$B$18</f>
        <v>28.6606066143391</v>
      </c>
      <c r="S19" s="24" t="n">
        <f aca="false">S13*Premissas!$B$18</f>
        <v>30.2485779765534</v>
      </c>
      <c r="T19" s="24" t="n">
        <f aca="false">T13*Premissas!$B$18</f>
        <v>31.7871280276177</v>
      </c>
      <c r="U19" s="24" t="n">
        <f aca="false">U13*Premissas!$B$18</f>
        <v>33.2817628003807</v>
      </c>
      <c r="V19" s="24" t="n">
        <f aca="false">V13*Premissas!$B$18</f>
        <v>34.7375788916221</v>
      </c>
      <c r="W19" s="24" t="n">
        <f aca="false">W13*Premissas!$B$18</f>
        <v>36.1592968378696</v>
      </c>
      <c r="X19" s="24" t="n">
        <f aca="false">X13*Premissas!$B$18</f>
        <v>37.5512918335689</v>
      </c>
      <c r="Y19" s="24" t="n">
        <f aca="false">Y13*Premissas!$B$18</f>
        <v>38.9176220044667</v>
      </c>
      <c r="Z19" s="24" t="n">
        <f aca="false">Z13*Premissas!$B$18</f>
        <v>40.2620544320445</v>
      </c>
      <c r="AA19" s="24" t="n">
        <f aca="false">AA13*Premissas!$B$18</f>
        <v>41.5880891091747</v>
      </c>
      <c r="AB19" s="24" t="n">
        <f aca="false">AB13*Premissas!$B$18</f>
        <v>42.8989809927683</v>
      </c>
      <c r="AC19" s="24" t="n">
        <f aca="false">AC13*Premissas!$B$18</f>
        <v>44.1977603059211</v>
      </c>
      <c r="AD19" s="24" t="n">
        <f aca="false">AD13*Premissas!$B$18</f>
        <v>45.4872512298731</v>
      </c>
      <c r="AE19" s="24" t="n">
        <f aca="false">AE13*Premissas!$B$18</f>
        <v>46.7700891148774</v>
      </c>
      <c r="AF19" s="24" t="n">
        <f aca="false">AF13*Premissas!$B$18</f>
        <v>48.0487363287493</v>
      </c>
      <c r="AG19" s="24" t="n">
        <f aca="false">AG13*Premissas!$B$18</f>
        <v>49.3254968523727</v>
      </c>
      <c r="AH19" s="24" t="n">
        <f aca="false">AH13*Premissas!$B$18</f>
        <v>50.6025297227046</v>
      </c>
      <c r="AI19" s="24" t="n">
        <f aca="false">AI13*Premissas!$B$18</f>
        <v>51.8818614157805</v>
      </c>
      <c r="AJ19" s="24" t="n">
        <f aca="false">AJ13*Premissas!$B$18</f>
        <v>53.1653972548281</v>
      </c>
      <c r="AK19" s="24" t="n">
        <f aca="false">AK13*Premissas!$B$18</f>
        <v>54.4549319217981</v>
      </c>
      <c r="AL19" s="24" t="n">
        <f aca="false">AL13*Premissas!$B$18</f>
        <v>55.7521591443577</v>
      </c>
      <c r="AM19" s="24" t="n">
        <f aca="false">AM13*Premissas!$B$18</f>
        <v>57.0586806246385</v>
      </c>
      <c r="AN19" s="24" t="n">
        <f aca="false">AN13*Premissas!$B$18</f>
        <v>58.3760142707335</v>
      </c>
      <c r="AO19" s="24" t="n">
        <f aca="false">AO13*Premissas!$B$18</f>
        <v>59.7056017870622</v>
      </c>
      <c r="AP19" s="24" t="n">
        <f aca="false">AP13*Premissas!$B$18</f>
        <v>61.0488156752443</v>
      </c>
      <c r="AQ19" s="24" t="n">
        <f aca="false">AQ13*Premissas!$B$18</f>
        <v>62.4069656929948</v>
      </c>
      <c r="AR19" s="24" t="n">
        <f aca="false">AR13*Premissas!$B$18</f>
        <v>63.7813048147607</v>
      </c>
      <c r="AS19" s="24" t="n">
        <f aca="false">AS13*Premissas!$B$18</f>
        <v>65.1730347343294</v>
      </c>
      <c r="AT19" s="24" t="n">
        <f aca="false">AT13*Premissas!$B$18</f>
        <v>66.5833109464276</v>
      </c>
      <c r="AU19" s="24" t="n">
        <f aca="false">AU13*Premissas!$B$18</f>
        <v>68.0132474413749</v>
      </c>
      <c r="AV19" s="24" t="n">
        <f aca="false">AV13*Premissas!$B$18</f>
        <v>69.4639210441396</v>
      </c>
      <c r="AW19" s="24" t="n">
        <f aca="false">AW13*Premissas!$B$18</f>
        <v>70.9363754266446</v>
      </c>
      <c r="AX19" s="24" t="n">
        <f aca="false">AX13*Premissas!$B$18</f>
        <v>72.4316248198699</v>
      </c>
      <c r="AY19" s="24" t="n">
        <f aca="false">AY13*Premissas!$B$18</f>
        <v>73.9506574501844</v>
      </c>
      <c r="AZ19" s="24" t="n">
        <f aca="false">AZ13*Premissas!$B$18</f>
        <v>75.4944387223917</v>
      </c>
      <c r="BA19" s="24" t="n">
        <f aca="false">BA13*Premissas!$B$18</f>
        <v>77.063914170187</v>
      </c>
      <c r="BB19" s="24" t="n">
        <f aca="false">BB13*Premissas!$B$18</f>
        <v>78.6600121930703</v>
      </c>
      <c r="BC19" s="24" t="n">
        <f aca="false">BC13*Premissas!$B$18</f>
        <v>80.2836465972529</v>
      </c>
      <c r="BD19" s="24" t="n">
        <f aca="false">BD13*Premissas!$B$18</f>
        <v>81.9357189566935</v>
      </c>
      <c r="BE19" s="24" t="n">
        <f aca="false">BE13*Premissas!$B$18</f>
        <v>83.6171208091233</v>
      </c>
      <c r="BF19" s="24" t="n">
        <f aca="false">BF13*Premissas!$B$18</f>
        <v>85.328735700738</v>
      </c>
      <c r="BG19" s="24" t="n">
        <f aca="false">BG13*Premissas!$B$18</f>
        <v>87.0714410921504</v>
      </c>
      <c r="BH19" s="24" t="n">
        <f aca="false">BH13*Premissas!$B$18</f>
        <v>88.8461101371992</v>
      </c>
      <c r="BI19" s="24" t="n">
        <f aca="false">BI13*Premissas!$B$18</f>
        <v>90.6536133452925</v>
      </c>
      <c r="BJ19" s="24" t="n">
        <f aca="false">BJ13*Premissas!$B$18</f>
        <v>92.4948201371198</v>
      </c>
      <c r="BK19" s="24" t="n">
        <f aca="false">BK13*Premissas!$B$18</f>
        <v>94.3706003027899</v>
      </c>
    </row>
    <row r="20" customFormat="false" ht="15" hidden="false" customHeight="false" outlineLevel="0" collapsed="false">
      <c r="A20" s="9" t="s">
        <v>159</v>
      </c>
      <c r="B20" s="19" t="s">
        <v>158</v>
      </c>
      <c r="C20" s="24" t="n">
        <v>0</v>
      </c>
      <c r="D20" s="24" t="n">
        <f aca="false">D8*Premissas!$B$19</f>
        <v>12</v>
      </c>
      <c r="E20" s="24" t="n">
        <f aca="false">E8*Premissas!$B$19</f>
        <v>22.44</v>
      </c>
      <c r="F20" s="24" t="n">
        <f aca="false">F8*Premissas!$B$19</f>
        <v>31.1988</v>
      </c>
      <c r="G20" s="24" t="n">
        <f aca="false">G8*Premissas!$B$19</f>
        <v>38.886276</v>
      </c>
      <c r="H20" s="24" t="n">
        <f aca="false">H8*Premissas!$B$19</f>
        <v>45.66797652</v>
      </c>
      <c r="I20" s="24" t="n">
        <f aca="false">I8*Premissas!$B$19</f>
        <v>51.6847148004</v>
      </c>
      <c r="J20" s="24" t="n">
        <f aca="false">J8*Premissas!$B$19</f>
        <v>57.056281033908</v>
      </c>
      <c r="K20" s="24" t="n">
        <f aca="false">K8*Premissas!$B$19</f>
        <v>61.8845978014612</v>
      </c>
      <c r="L20" s="24" t="n">
        <f aca="false">L8*Premissas!$B$19</f>
        <v>66.2564022323341</v>
      </c>
      <c r="M20" s="24" t="n">
        <f aca="false">M8*Premissas!$B$19</f>
        <v>70.245525880598</v>
      </c>
      <c r="N20" s="24" t="n">
        <f aca="false">N8*Premissas!$B$19</f>
        <v>73.9148326612846</v>
      </c>
      <c r="O20" s="24" t="n">
        <f aca="false">O8*Premissas!$B$19</f>
        <v>77.3178661381237</v>
      </c>
      <c r="P20" s="24" t="n">
        <f aca="false">P8*Premissas!$B$19</f>
        <v>80.5002497609576</v>
      </c>
      <c r="Q20" s="24" t="n">
        <f aca="false">Q8*Premissas!$B$19</f>
        <v>83.5008771112374</v>
      </c>
      <c r="R20" s="24" t="n">
        <f aca="false">R8*Premissas!$B$19</f>
        <v>86.3529236552638</v>
      </c>
      <c r="S20" s="24" t="n">
        <f aca="false">S8*Premissas!$B$19</f>
        <v>89.0847067799004</v>
      </c>
      <c r="T20" s="24" t="n">
        <f aca="false">T8*Premissas!$B$19</f>
        <v>91.7204168693</v>
      </c>
      <c r="U20" s="24" t="n">
        <f aca="false">U8*Premissas!$B$19</f>
        <v>94.2807387674174</v>
      </c>
      <c r="V20" s="24" t="n">
        <f aca="false">V8*Premissas!$B$19</f>
        <v>96.7833800693875</v>
      </c>
      <c r="W20" s="24" t="n">
        <f aca="false">W8*Premissas!$B$19</f>
        <v>99.2435202184037</v>
      </c>
      <c r="X20" s="24" t="n">
        <f aca="false">X8*Premissas!$B$19</f>
        <v>101.674192288256</v>
      </c>
      <c r="Y20" s="24" t="n">
        <f aca="false">Y8*Premissas!$B$19</f>
        <v>104.086607549683</v>
      </c>
      <c r="Z20" s="24" t="n">
        <f aca="false">Z8*Premissas!$B$19</f>
        <v>106.490431403989</v>
      </c>
      <c r="AA20" s="24" t="n">
        <f aca="false">AA8*Premissas!$B$19</f>
        <v>108.894017979884</v>
      </c>
      <c r="AB20" s="24" t="n">
        <f aca="false">AB8*Premissas!$B$19</f>
        <v>111.304609595125</v>
      </c>
      <c r="AC20" s="24" t="n">
        <f aca="false">AC8*Premissas!$B$19</f>
        <v>113.728506354324</v>
      </c>
      <c r="AD20" s="24" t="n">
        <f aca="false">AD8*Premissas!$B$19</f>
        <v>116.171210363612</v>
      </c>
      <c r="AE20" s="24" t="n">
        <f aca="false">AE8*Premissas!$B$19</f>
        <v>118.637548370757</v>
      </c>
      <c r="AF20" s="24" t="n">
        <f aca="false">AF8*Premissas!$B$19</f>
        <v>121.131776068063</v>
      </c>
      <c r="AG20" s="24" t="n">
        <f aca="false">AG8*Premissas!$B$19</f>
        <v>123.657666809831</v>
      </c>
      <c r="AH20" s="24" t="n">
        <f aca="false">AH8*Premissas!$B$19</f>
        <v>126.218587083374</v>
      </c>
      <c r="AI20" s="24" t="n">
        <f aca="false">AI8*Premissas!$B$19</f>
        <v>128.817560721786</v>
      </c>
      <c r="AJ20" s="24" t="n">
        <f aca="false">AJ8*Premissas!$B$19</f>
        <v>131.457323548455</v>
      </c>
      <c r="AK20" s="24" t="n">
        <f aca="false">AK8*Premissas!$B$19</f>
        <v>134.140369889822</v>
      </c>
      <c r="AL20" s="24" t="n">
        <f aca="false">AL8*Premissas!$B$19</f>
        <v>136.868992177456</v>
      </c>
      <c r="AM20" s="24" t="n">
        <f aca="false">AM8*Premissas!$B$19</f>
        <v>139.645314677368</v>
      </c>
      <c r="AN20" s="24" t="n">
        <f aca="false">AN8*Premissas!$B$19</f>
        <v>142.471322228823</v>
      </c>
      <c r="AO20" s="24" t="n">
        <f aca="false">AO8*Premissas!$B$19</f>
        <v>145.348884742621</v>
      </c>
      <c r="AP20" s="24" t="n">
        <f aca="false">AP8*Premissas!$B$19</f>
        <v>148.279778096312</v>
      </c>
      <c r="AQ20" s="24" t="n">
        <f aca="false">AQ8*Premissas!$B$19</f>
        <v>151.265701968251</v>
      </c>
      <c r="AR20" s="24" t="n">
        <f aca="false">AR8*Premissas!$B$19</f>
        <v>154.308295071127</v>
      </c>
      <c r="AS20" s="24" t="n">
        <f aca="false">AS8*Premissas!$B$19</f>
        <v>157.409148176534</v>
      </c>
      <c r="AT20" s="24" t="n">
        <f aca="false">AT8*Premissas!$B$19</f>
        <v>160.569815263451</v>
      </c>
      <c r="AU20" s="24" t="n">
        <f aca="false">AU8*Premissas!$B$19</f>
        <v>163.791823073599</v>
      </c>
      <c r="AV20" s="24" t="n">
        <f aca="false">AV8*Premissas!$B$19</f>
        <v>167.076679314218</v>
      </c>
      <c r="AW20" s="24" t="n">
        <f aca="false">AW8*Premissas!$B$19</f>
        <v>170.425879712777</v>
      </c>
      <c r="AX20" s="24" t="n">
        <f aca="false">AX8*Premissas!$B$19</f>
        <v>173.840914097466</v>
      </c>
      <c r="AY20" s="24" t="n">
        <f aca="false">AY8*Premissas!$B$19</f>
        <v>177.323271651284</v>
      </c>
      <c r="AZ20" s="24" t="n">
        <f aca="false">AZ8*Premissas!$B$19</f>
        <v>180.874445465398</v>
      </c>
      <c r="BA20" s="24" t="n">
        <f aca="false">BA8*Premissas!$B$19</f>
        <v>184.495936498631</v>
      </c>
      <c r="BB20" s="24" t="n">
        <f aca="false">BB8*Premissas!$B$19</f>
        <v>188.18925703394</v>
      </c>
      <c r="BC20" s="24" t="n">
        <f aca="false">BC8*Premissas!$B$19</f>
        <v>191.955933709154</v>
      </c>
      <c r="BD20" s="24" t="n">
        <f aca="false">BD8*Premissas!$B$19</f>
        <v>195.797510187693</v>
      </c>
      <c r="BE20" s="24" t="n">
        <f aca="false">BE8*Premissas!$B$19</f>
        <v>199.715549525149</v>
      </c>
      <c r="BF20" s="24" t="n">
        <f aca="false">BF8*Premissas!$B$19</f>
        <v>203.711636279299</v>
      </c>
      <c r="BG20" s="24" t="n">
        <f aca="false">BG8*Premissas!$B$19</f>
        <v>207.787378403984</v>
      </c>
      <c r="BH20" s="24" t="n">
        <f aca="false">BH8*Premissas!$B$19</f>
        <v>211.944408961299</v>
      </c>
      <c r="BI20" s="24" t="n">
        <f aca="false">BI8*Premissas!$B$19</f>
        <v>216.184387681374</v>
      </c>
      <c r="BJ20" s="24" t="n">
        <f aca="false">BJ8*Premissas!$B$19</f>
        <v>220.509002394724</v>
      </c>
      <c r="BK20" s="24" t="n">
        <f aca="false">BK8*Premissas!$B$19</f>
        <v>224.919970358382</v>
      </c>
    </row>
    <row r="21" customFormat="false" ht="15" hidden="false" customHeight="false" outlineLevel="0" collapsed="false">
      <c r="A21" s="9" t="s">
        <v>160</v>
      </c>
      <c r="B21" s="19" t="s">
        <v>155</v>
      </c>
      <c r="C21" s="22" t="n">
        <v>0</v>
      </c>
      <c r="D21" s="22" t="n">
        <f aca="false">(D19+D20)*Premissas!$B$22</f>
        <v>360</v>
      </c>
      <c r="E21" s="22" t="n">
        <f aca="false">(E19+E20)*Premissas!$B$22</f>
        <v>673.2</v>
      </c>
      <c r="F21" s="22" t="n">
        <f aca="false">(F19+F20)*Premissas!$B$22</f>
        <v>1025.964</v>
      </c>
      <c r="G21" s="22" t="n">
        <f aca="false">(G19+G20)*Premissas!$B$22</f>
        <v>1341.18828</v>
      </c>
      <c r="H21" s="22" t="n">
        <f aca="false">(H19+H20)*Premissas!$B$22</f>
        <v>1624.3072956</v>
      </c>
      <c r="I21" s="22" t="n">
        <f aca="false">(I19+I20)*Premissas!$B$22</f>
        <v>1879.976724012</v>
      </c>
      <c r="J21" s="22" t="n">
        <f aca="false">(J19+J20)*Premissas!$B$22</f>
        <v>2112.18778301724</v>
      </c>
      <c r="K21" s="22" t="n">
        <f aca="false">(K19+K20)*Premissas!$B$22</f>
        <v>2324.36461017183</v>
      </c>
      <c r="L21" s="22" t="n">
        <f aca="false">(L19+L20)*Premissas!$B$22</f>
        <v>2519.44722674154</v>
      </c>
      <c r="M21" s="22" t="n">
        <f aca="false">(M19+M20)*Premissas!$B$22</f>
        <v>2699.96223349617</v>
      </c>
      <c r="N21" s="22" t="n">
        <f aca="false">(N19+N20)*Premissas!$B$22</f>
        <v>2868.08306464072</v>
      </c>
      <c r="O21" s="22" t="n">
        <f aca="false">(O19+O20)*Premissas!$B$22</f>
        <v>3025.68135333772</v>
      </c>
      <c r="P21" s="22" t="n">
        <f aca="false">(P19+P20)*Premissas!$B$22</f>
        <v>3174.37073028675</v>
      </c>
      <c r="Q21" s="22" t="n">
        <f aca="false">(Q19+Q20)*Premissas!$B$22</f>
        <v>3315.54417955402</v>
      </c>
      <c r="R21" s="22" t="n">
        <f aca="false">(R19+R20)*Premissas!$B$22</f>
        <v>3450.40590808809</v>
      </c>
      <c r="S21" s="22" t="n">
        <f aca="false">(S19+S20)*Premissas!$B$22</f>
        <v>3579.99854269361</v>
      </c>
      <c r="T21" s="22" t="n">
        <f aca="false">(T19+T20)*Premissas!$B$22</f>
        <v>3705.22634690753</v>
      </c>
      <c r="U21" s="22" t="n">
        <f aca="false">(U19+U20)*Premissas!$B$22</f>
        <v>3826.87504703394</v>
      </c>
      <c r="V21" s="22" t="n">
        <f aca="false">(V19+V20)*Premissas!$B$22</f>
        <v>3945.62876883029</v>
      </c>
      <c r="W21" s="22" t="n">
        <f aca="false">(W19+W20)*Premissas!$B$22</f>
        <v>4062.0845116882</v>
      </c>
      <c r="X21" s="22" t="n">
        <f aca="false">(X19+X20)*Premissas!$B$22</f>
        <v>4176.76452365474</v>
      </c>
      <c r="Y21" s="22" t="n">
        <f aca="false">(Y19+Y20)*Premissas!$B$22</f>
        <v>4290.12688662448</v>
      </c>
      <c r="Z21" s="22" t="n">
        <f aca="false">(Z19+Z20)*Premissas!$B$22</f>
        <v>4402.57457508099</v>
      </c>
      <c r="AA21" s="22" t="n">
        <f aca="false">(AA19+AA20)*Premissas!$B$22</f>
        <v>4514.46321267175</v>
      </c>
      <c r="AB21" s="22" t="n">
        <f aca="false">(AB19+AB20)*Premissas!$B$22</f>
        <v>4626.10771763679</v>
      </c>
      <c r="AC21" s="22" t="n">
        <f aca="false">(AC19+AC20)*Premissas!$B$22</f>
        <v>4737.78799980735</v>
      </c>
      <c r="AD21" s="22" t="n">
        <f aca="false">(AD19+AD20)*Premissas!$B$22</f>
        <v>4849.75384780457</v>
      </c>
      <c r="AE21" s="22" t="n">
        <f aca="false">(AE19+AE20)*Premissas!$B$22</f>
        <v>4962.22912456902</v>
      </c>
      <c r="AF21" s="22" t="n">
        <f aca="false">(AF19+AF20)*Premissas!$B$22</f>
        <v>5075.41537190436</v>
      </c>
      <c r="AG21" s="22" t="n">
        <f aca="false">(AG19+AG20)*Premissas!$B$22</f>
        <v>5189.49490986612</v>
      </c>
      <c r="AH21" s="22" t="n">
        <f aca="false">(AH19+AH20)*Premissas!$B$22</f>
        <v>5304.63350418237</v>
      </c>
      <c r="AI21" s="22" t="n">
        <f aca="false">(AI19+AI20)*Premissas!$B$22</f>
        <v>5420.982664127</v>
      </c>
      <c r="AJ21" s="22" t="n">
        <f aca="false">(AJ19+AJ20)*Premissas!$B$22</f>
        <v>5538.68162409848</v>
      </c>
      <c r="AK21" s="22" t="n">
        <f aca="false">(AK19+AK20)*Premissas!$B$22</f>
        <v>5657.85905434859</v>
      </c>
      <c r="AL21" s="22" t="n">
        <f aca="false">(AL19+AL20)*Premissas!$B$22</f>
        <v>5778.63453965441</v>
      </c>
      <c r="AM21" s="22" t="n">
        <f aca="false">(AM19+AM20)*Premissas!$B$22</f>
        <v>5901.11985906018</v>
      </c>
      <c r="AN21" s="22" t="n">
        <f aca="false">(AN19+AN20)*Premissas!$B$22</f>
        <v>6025.42009498669</v>
      </c>
      <c r="AO21" s="22" t="n">
        <f aca="false">(AO19+AO20)*Premissas!$B$22</f>
        <v>6151.63459589051</v>
      </c>
      <c r="AP21" s="22" t="n">
        <f aca="false">(AP19+AP20)*Premissas!$B$22</f>
        <v>6279.8578131467</v>
      </c>
      <c r="AQ21" s="22" t="n">
        <f aca="false">(AQ19+AQ20)*Premissas!$B$22</f>
        <v>6410.18002983739</v>
      </c>
      <c r="AR21" s="22" t="n">
        <f aca="false">(AR19+AR20)*Premissas!$B$22</f>
        <v>6542.68799657664</v>
      </c>
      <c r="AS21" s="22" t="n">
        <f aca="false">(AS19+AS20)*Premissas!$B$22</f>
        <v>6677.4654873259</v>
      </c>
      <c r="AT21" s="22" t="n">
        <f aca="false">(AT19+AT20)*Premissas!$B$22</f>
        <v>6814.59378629637</v>
      </c>
      <c r="AU21" s="22" t="n">
        <f aca="false">(AU19+AU20)*Premissas!$B$22</f>
        <v>6954.15211544921</v>
      </c>
      <c r="AV21" s="22" t="n">
        <f aca="false">(AV19+AV20)*Premissas!$B$22</f>
        <v>7096.21801075072</v>
      </c>
      <c r="AW21" s="22" t="n">
        <f aca="false">(AW19+AW20)*Premissas!$B$22</f>
        <v>7240.86765418264</v>
      </c>
      <c r="AX21" s="22" t="n">
        <f aca="false">(AX19+AX20)*Premissas!$B$22</f>
        <v>7388.17616752008</v>
      </c>
      <c r="AY21" s="22" t="n">
        <f aca="false">(AY19+AY20)*Premissas!$B$22</f>
        <v>7538.21787304404</v>
      </c>
      <c r="AZ21" s="22" t="n">
        <f aca="false">(AZ19+AZ20)*Premissas!$B$22</f>
        <v>7691.06652563368</v>
      </c>
      <c r="BA21" s="22" t="n">
        <f aca="false">(BA19+BA20)*Premissas!$B$22</f>
        <v>7846.79552006453</v>
      </c>
      <c r="BB21" s="22" t="n">
        <f aca="false">(BB19+BB20)*Premissas!$B$22</f>
        <v>8005.4780768103</v>
      </c>
      <c r="BC21" s="22" t="n">
        <f aca="false">(BC19+BC20)*Premissas!$B$22</f>
        <v>8167.18740919221</v>
      </c>
      <c r="BD21" s="22" t="n">
        <f aca="false">(BD19+BD20)*Premissas!$B$22</f>
        <v>8331.99687433159</v>
      </c>
      <c r="BE21" s="22" t="n">
        <f aca="false">(BE19+BE20)*Premissas!$B$22</f>
        <v>8499.98011002816</v>
      </c>
      <c r="BF21" s="22" t="n">
        <f aca="false">(BF19+BF20)*Premissas!$B$22</f>
        <v>8671.2111594011</v>
      </c>
      <c r="BG21" s="22" t="n">
        <f aca="false">(BG19+BG20)*Premissas!$B$22</f>
        <v>8845.76458488404</v>
      </c>
      <c r="BH21" s="22" t="n">
        <f aca="false">(BH19+BH20)*Premissas!$B$22</f>
        <v>9023.71557295494</v>
      </c>
      <c r="BI21" s="22" t="n">
        <f aca="false">(BI19+BI20)*Premissas!$B$22</f>
        <v>9205.14003080001</v>
      </c>
      <c r="BJ21" s="22" t="n">
        <f aca="false">(BJ19+BJ20)*Premissas!$B$22</f>
        <v>9390.11467595531</v>
      </c>
      <c r="BK21" s="22" t="n">
        <f aca="false">(BK19+BK20)*Premissas!$B$22</f>
        <v>9578.71711983517</v>
      </c>
    </row>
    <row r="22" customFormat="false" ht="15" hidden="false" customHeight="false" outlineLevel="0" collapsed="false">
      <c r="A22" s="9" t="s">
        <v>161</v>
      </c>
      <c r="B22" s="19" t="s">
        <v>155</v>
      </c>
      <c r="C22" s="22" t="n">
        <v>0</v>
      </c>
      <c r="D22" s="22" t="n">
        <f aca="false">(D19+D20)*Premissas!$B$23</f>
        <v>180</v>
      </c>
      <c r="E22" s="22" t="n">
        <f aca="false">(E19+E20)*Premissas!$B$23</f>
        <v>336.6</v>
      </c>
      <c r="F22" s="22" t="n">
        <f aca="false">(F19+F20)*Premissas!$B$23</f>
        <v>512.982</v>
      </c>
      <c r="G22" s="22" t="n">
        <f aca="false">(G19+G20)*Premissas!$B$23</f>
        <v>670.59414</v>
      </c>
      <c r="H22" s="22" t="n">
        <f aca="false">(H19+H20)*Premissas!$B$23</f>
        <v>812.1536478</v>
      </c>
      <c r="I22" s="22" t="n">
        <f aca="false">(I19+I20)*Premissas!$B$23</f>
        <v>939.988362006</v>
      </c>
      <c r="J22" s="22" t="n">
        <f aca="false">(J19+J20)*Premissas!$B$23</f>
        <v>1056.09389150862</v>
      </c>
      <c r="K22" s="22" t="n">
        <f aca="false">(K19+K20)*Premissas!$B$23</f>
        <v>1162.18230508592</v>
      </c>
      <c r="L22" s="22" t="n">
        <f aca="false">(L19+L20)*Premissas!$B$23</f>
        <v>1259.72361337077</v>
      </c>
      <c r="M22" s="22" t="n">
        <f aca="false">(M19+M20)*Premissas!$B$23</f>
        <v>1349.98111674809</v>
      </c>
      <c r="N22" s="22" t="n">
        <f aca="false">(N19+N20)*Premissas!$B$23</f>
        <v>1434.04153232036</v>
      </c>
      <c r="O22" s="22" t="n">
        <f aca="false">(O19+O20)*Premissas!$B$23</f>
        <v>1512.84067666886</v>
      </c>
      <c r="P22" s="22" t="n">
        <f aca="false">(P19+P20)*Premissas!$B$23</f>
        <v>1587.18536514337</v>
      </c>
      <c r="Q22" s="22" t="n">
        <f aca="false">(Q19+Q20)*Premissas!$B$23</f>
        <v>1657.77208977701</v>
      </c>
      <c r="R22" s="22" t="n">
        <f aca="false">(R19+R20)*Premissas!$B$23</f>
        <v>1725.20295404404</v>
      </c>
      <c r="S22" s="22" t="n">
        <f aca="false">(S19+S20)*Premissas!$B$23</f>
        <v>1789.99927134681</v>
      </c>
      <c r="T22" s="22" t="n">
        <f aca="false">(T19+T20)*Premissas!$B$23</f>
        <v>1852.61317345377</v>
      </c>
      <c r="U22" s="22" t="n">
        <f aca="false">(U19+U20)*Premissas!$B$23</f>
        <v>1913.43752351697</v>
      </c>
      <c r="V22" s="22" t="n">
        <f aca="false">(V19+V20)*Premissas!$B$23</f>
        <v>1972.81438441514</v>
      </c>
      <c r="W22" s="22" t="n">
        <f aca="false">(W19+W20)*Premissas!$B$23</f>
        <v>2031.0422558441</v>
      </c>
      <c r="X22" s="22" t="n">
        <f aca="false">(X19+X20)*Premissas!$B$23</f>
        <v>2088.38226182737</v>
      </c>
      <c r="Y22" s="22" t="n">
        <f aca="false">(Y19+Y20)*Premissas!$B$23</f>
        <v>2145.06344331224</v>
      </c>
      <c r="Z22" s="22" t="n">
        <f aca="false">(Z19+Z20)*Premissas!$B$23</f>
        <v>2201.28728754049</v>
      </c>
      <c r="AA22" s="22" t="n">
        <f aca="false">(AA19+AA20)*Premissas!$B$23</f>
        <v>2257.23160633588</v>
      </c>
      <c r="AB22" s="22" t="n">
        <f aca="false">(AB19+AB20)*Premissas!$B$23</f>
        <v>2313.05385881839</v>
      </c>
      <c r="AC22" s="22" t="n">
        <f aca="false">(AC19+AC20)*Premissas!$B$23</f>
        <v>2368.89399990367</v>
      </c>
      <c r="AD22" s="22" t="n">
        <f aca="false">(AD19+AD20)*Premissas!$B$23</f>
        <v>2424.87692390228</v>
      </c>
      <c r="AE22" s="22" t="n">
        <f aca="false">(AE19+AE20)*Premissas!$B$23</f>
        <v>2481.11456228451</v>
      </c>
      <c r="AF22" s="22" t="n">
        <f aca="false">(AF19+AF20)*Premissas!$B$23</f>
        <v>2537.70768595218</v>
      </c>
      <c r="AG22" s="22" t="n">
        <f aca="false">(AG19+AG20)*Premissas!$B$23</f>
        <v>2594.74745493306</v>
      </c>
      <c r="AH22" s="22" t="n">
        <f aca="false">(AH19+AH20)*Premissas!$B$23</f>
        <v>2652.31675209118</v>
      </c>
      <c r="AI22" s="22" t="n">
        <f aca="false">(AI19+AI20)*Premissas!$B$23</f>
        <v>2710.4913320635</v>
      </c>
      <c r="AJ22" s="22" t="n">
        <f aca="false">(AJ19+AJ20)*Premissas!$B$23</f>
        <v>2769.34081204924</v>
      </c>
      <c r="AK22" s="22" t="n">
        <f aca="false">(AK19+AK20)*Premissas!$B$23</f>
        <v>2828.92952717429</v>
      </c>
      <c r="AL22" s="22" t="n">
        <f aca="false">(AL19+AL20)*Premissas!$B$23</f>
        <v>2889.31726982721</v>
      </c>
      <c r="AM22" s="22" t="n">
        <f aca="false">(AM19+AM20)*Premissas!$B$23</f>
        <v>2950.55992953009</v>
      </c>
      <c r="AN22" s="22" t="n">
        <f aca="false">(AN19+AN20)*Premissas!$B$23</f>
        <v>3012.71004749335</v>
      </c>
      <c r="AO22" s="22" t="n">
        <f aca="false">(AO19+AO20)*Premissas!$B$23</f>
        <v>3075.81729794525</v>
      </c>
      <c r="AP22" s="22" t="n">
        <f aca="false">(AP19+AP20)*Premissas!$B$23</f>
        <v>3139.92890657335</v>
      </c>
      <c r="AQ22" s="22" t="n">
        <f aca="false">(AQ19+AQ20)*Premissas!$B$23</f>
        <v>3205.09001491869</v>
      </c>
      <c r="AR22" s="22" t="n">
        <f aca="false">(AR19+AR20)*Premissas!$B$23</f>
        <v>3271.34399828832</v>
      </c>
      <c r="AS22" s="22" t="n">
        <f aca="false">(AS19+AS20)*Premissas!$B$23</f>
        <v>3338.73274366295</v>
      </c>
      <c r="AT22" s="22" t="n">
        <f aca="false">(AT19+AT20)*Premissas!$B$23</f>
        <v>3407.29689314818</v>
      </c>
      <c r="AU22" s="22" t="n">
        <f aca="false">(AU19+AU20)*Premissas!$B$23</f>
        <v>3477.07605772461</v>
      </c>
      <c r="AV22" s="22" t="n">
        <f aca="false">(AV19+AV20)*Premissas!$B$23</f>
        <v>3548.10900537536</v>
      </c>
      <c r="AW22" s="22" t="n">
        <f aca="false">(AW19+AW20)*Premissas!$B$23</f>
        <v>3620.43382709132</v>
      </c>
      <c r="AX22" s="22" t="n">
        <f aca="false">(AX19+AX20)*Premissas!$B$23</f>
        <v>3694.08808376004</v>
      </c>
      <c r="AY22" s="22" t="n">
        <f aca="false">(AY19+AY20)*Premissas!$B$23</f>
        <v>3769.10893652202</v>
      </c>
      <c r="AZ22" s="22" t="n">
        <f aca="false">(AZ19+AZ20)*Premissas!$B$23</f>
        <v>3845.53326281684</v>
      </c>
      <c r="BA22" s="22" t="n">
        <f aca="false">(BA19+BA20)*Premissas!$B$23</f>
        <v>3923.39776003226</v>
      </c>
      <c r="BB22" s="22" t="n">
        <f aca="false">(BB19+BB20)*Premissas!$B$23</f>
        <v>4002.73903840515</v>
      </c>
      <c r="BC22" s="22" t="n">
        <f aca="false">(BC19+BC20)*Premissas!$B$23</f>
        <v>4083.59370459611</v>
      </c>
      <c r="BD22" s="22" t="n">
        <f aca="false">(BD19+BD20)*Premissas!$B$23</f>
        <v>4165.99843716579</v>
      </c>
      <c r="BE22" s="22" t="n">
        <f aca="false">(BE19+BE20)*Premissas!$B$23</f>
        <v>4249.99005501408</v>
      </c>
      <c r="BF22" s="22" t="n">
        <f aca="false">(BF19+BF20)*Premissas!$B$23</f>
        <v>4335.60557970055</v>
      </c>
      <c r="BG22" s="22" t="n">
        <f aca="false">(BG19+BG20)*Premissas!$B$23</f>
        <v>4422.88229244202</v>
      </c>
      <c r="BH22" s="22" t="n">
        <f aca="false">(BH19+BH20)*Premissas!$B$23</f>
        <v>4511.85778647747</v>
      </c>
      <c r="BI22" s="22" t="n">
        <f aca="false">(BI19+BI20)*Premissas!$B$23</f>
        <v>4602.5700154</v>
      </c>
      <c r="BJ22" s="22" t="n">
        <f aca="false">(BJ19+BJ20)*Premissas!$B$23</f>
        <v>4695.05733797766</v>
      </c>
      <c r="BK22" s="22" t="n">
        <f aca="false">(BK19+BK20)*Premissas!$B$23</f>
        <v>4789.35855991758</v>
      </c>
    </row>
    <row r="23" customFormat="false" ht="15" hidden="false" customHeight="false" outlineLevel="0" collapsed="false">
      <c r="A23" s="9" t="s">
        <v>162</v>
      </c>
      <c r="B23" s="19" t="s">
        <v>155</v>
      </c>
      <c r="C23" s="22" t="n">
        <v>0</v>
      </c>
      <c r="D23" s="22" t="n">
        <f aca="false">D13*Premissas!$B$24</f>
        <v>0</v>
      </c>
      <c r="E23" s="22" t="n">
        <f aca="false">E13*Premissas!$B$24</f>
        <v>0</v>
      </c>
      <c r="F23" s="22" t="n">
        <f aca="false">F13*Premissas!$B$24</f>
        <v>4.2</v>
      </c>
      <c r="G23" s="22" t="n">
        <f aca="false">G13*Premissas!$B$24</f>
        <v>8.148</v>
      </c>
      <c r="H23" s="22" t="n">
        <f aca="false">H13*Premissas!$B$24</f>
        <v>11.86584</v>
      </c>
      <c r="I23" s="22" t="n">
        <f aca="false">I13*Premissas!$B$24</f>
        <v>15.3736464</v>
      </c>
      <c r="J23" s="22" t="n">
        <f aca="false">J13*Premissas!$B$24</f>
        <v>18.68996976</v>
      </c>
      <c r="K23" s="22" t="n">
        <f aca="false">K13*Premissas!$B$24</f>
        <v>21.83191155264</v>
      </c>
      <c r="L23" s="22" t="n">
        <f aca="false">L13*Premissas!$B$24</f>
        <v>24.8152407893376</v>
      </c>
      <c r="M23" s="22" t="n">
        <f aca="false">M13*Premissas!$B$24</f>
        <v>27.6545013303176</v>
      </c>
      <c r="N23" s="22" t="n">
        <f aca="false">N13*Premissas!$B$24</f>
        <v>30.3631106241017</v>
      </c>
      <c r="O23" s="22" t="n">
        <f aca="false">O13*Premissas!$B$24</f>
        <v>32.9534505623872</v>
      </c>
      <c r="P23" s="22" t="n">
        <f aca="false">P13*Premissas!$B$24</f>
        <v>35.4369510813743</v>
      </c>
      <c r="Q23" s="22" t="n">
        <f aca="false">Q13*Premissas!$B$24</f>
        <v>37.8241670901219</v>
      </c>
      <c r="R23" s="22" t="n">
        <f aca="false">R13*Premissas!$B$24</f>
        <v>40.1248492600748</v>
      </c>
      <c r="S23" s="22" t="n">
        <f aca="false">S13*Premissas!$B$24</f>
        <v>42.3480091671748</v>
      </c>
      <c r="T23" s="22" t="n">
        <f aca="false">T13*Premissas!$B$24</f>
        <v>44.5019792386648</v>
      </c>
      <c r="U23" s="22" t="n">
        <f aca="false">U13*Premissas!$B$24</f>
        <v>46.594467920533</v>
      </c>
      <c r="V23" s="22" t="n">
        <f aca="false">V13*Premissas!$B$24</f>
        <v>48.6326104482709</v>
      </c>
      <c r="W23" s="22" t="n">
        <f aca="false">W13*Premissas!$B$24</f>
        <v>50.6230155730174</v>
      </c>
      <c r="X23" s="22" t="n">
        <f aca="false">X13*Premissas!$B$24</f>
        <v>52.5718085669964</v>
      </c>
      <c r="Y23" s="22" t="n">
        <f aca="false">Y13*Premissas!$B$24</f>
        <v>54.4846708062534</v>
      </c>
      <c r="Z23" s="22" t="n">
        <f aca="false">Z13*Premissas!$B$24</f>
        <v>56.3668762048623</v>
      </c>
      <c r="AA23" s="22" t="n">
        <f aca="false">AA13*Premissas!$B$24</f>
        <v>58.2233247528445</v>
      </c>
      <c r="AB23" s="22" t="n">
        <f aca="false">AB13*Premissas!$B$24</f>
        <v>60.0585733898757</v>
      </c>
      <c r="AC23" s="22" t="n">
        <f aca="false">AC13*Premissas!$B$24</f>
        <v>61.8768644282895</v>
      </c>
      <c r="AD23" s="22" t="n">
        <f aca="false">AD13*Premissas!$B$24</f>
        <v>63.6821517218223</v>
      </c>
      <c r="AE23" s="22" t="n">
        <f aca="false">AE13*Premissas!$B$24</f>
        <v>65.4781247608284</v>
      </c>
      <c r="AF23" s="22" t="n">
        <f aca="false">AF13*Premissas!$B$24</f>
        <v>67.268230860249</v>
      </c>
      <c r="AG23" s="22" t="n">
        <f aca="false">AG13*Premissas!$B$24</f>
        <v>69.0556955933217</v>
      </c>
      <c r="AH23" s="22" t="n">
        <f aca="false">AH13*Premissas!$B$24</f>
        <v>70.8435416117865</v>
      </c>
      <c r="AI23" s="22" t="n">
        <f aca="false">AI13*Premissas!$B$24</f>
        <v>72.6346059820927</v>
      </c>
      <c r="AJ23" s="22" t="n">
        <f aca="false">AJ13*Premissas!$B$24</f>
        <v>74.4315561567593</v>
      </c>
      <c r="AK23" s="22" t="n">
        <f aca="false">AK13*Premissas!$B$24</f>
        <v>76.2369046905174</v>
      </c>
      <c r="AL23" s="22" t="n">
        <f aca="false">AL13*Premissas!$B$24</f>
        <v>78.0530228021007</v>
      </c>
      <c r="AM23" s="22" t="n">
        <f aca="false">AM13*Premissas!$B$24</f>
        <v>79.8821528744939</v>
      </c>
      <c r="AN23" s="22" t="n">
        <f aca="false">AN13*Premissas!$B$24</f>
        <v>81.7264199790269</v>
      </c>
      <c r="AO23" s="22" t="n">
        <f aca="false">AO13*Premissas!$B$24</f>
        <v>83.5878425018871</v>
      </c>
      <c r="AP23" s="22" t="n">
        <f aca="false">AP13*Premissas!$B$24</f>
        <v>85.4683419453421</v>
      </c>
      <c r="AQ23" s="22" t="n">
        <f aca="false">AQ13*Premissas!$B$24</f>
        <v>87.3697519701928</v>
      </c>
      <c r="AR23" s="22" t="n">
        <f aca="false">AR13*Premissas!$B$24</f>
        <v>89.293826740665</v>
      </c>
      <c r="AS23" s="22" t="n">
        <f aca="false">AS13*Premissas!$B$24</f>
        <v>91.2422486280612</v>
      </c>
      <c r="AT23" s="22" t="n">
        <f aca="false">AT13*Premissas!$B$24</f>
        <v>93.2166353249987</v>
      </c>
      <c r="AU23" s="22" t="n">
        <f aca="false">AU13*Premissas!$B$24</f>
        <v>95.2185464179248</v>
      </c>
      <c r="AV23" s="22" t="n">
        <f aca="false">AV13*Premissas!$B$24</f>
        <v>97.2494894617954</v>
      </c>
      <c r="AW23" s="22" t="n">
        <f aca="false">AW13*Premissas!$B$24</f>
        <v>99.3109255973024</v>
      </c>
      <c r="AX23" s="22" t="n">
        <f aca="false">AX13*Premissas!$B$24</f>
        <v>101.404274747818</v>
      </c>
      <c r="AY23" s="22" t="n">
        <f aca="false">AY13*Premissas!$B$24</f>
        <v>103.530920430258</v>
      </c>
      <c r="AZ23" s="22" t="n">
        <f aca="false">AZ13*Premissas!$B$24</f>
        <v>105.692214211348</v>
      </c>
      <c r="BA23" s="22" t="n">
        <f aca="false">BA13*Premissas!$B$24</f>
        <v>107.889479838262</v>
      </c>
      <c r="BB23" s="22" t="n">
        <f aca="false">BB13*Premissas!$B$24</f>
        <v>110.124017070298</v>
      </c>
      <c r="BC23" s="22" t="n">
        <f aca="false">BC13*Premissas!$B$24</f>
        <v>112.397105236154</v>
      </c>
      <c r="BD23" s="22" t="n">
        <f aca="false">BD13*Premissas!$B$24</f>
        <v>114.710006539371</v>
      </c>
      <c r="BE23" s="22" t="n">
        <f aca="false">BE13*Premissas!$B$24</f>
        <v>117.063969132773</v>
      </c>
      <c r="BF23" s="22" t="n">
        <f aca="false">BF13*Premissas!$B$24</f>
        <v>119.460229981033</v>
      </c>
      <c r="BG23" s="22" t="n">
        <f aca="false">BG13*Premissas!$B$24</f>
        <v>121.90001752901</v>
      </c>
      <c r="BH23" s="22" t="n">
        <f aca="false">BH13*Premissas!$B$24</f>
        <v>124.384554192079</v>
      </c>
      <c r="BI23" s="22" t="n">
        <f aca="false">BI13*Premissas!$B$24</f>
        <v>126.91505868341</v>
      </c>
      <c r="BJ23" s="22" t="n">
        <f aca="false">BJ13*Premissas!$B$24</f>
        <v>129.492748191968</v>
      </c>
      <c r="BK23" s="22" t="n">
        <f aca="false">BK13*Premissas!$B$24</f>
        <v>132.118840423906</v>
      </c>
    </row>
    <row r="24" customFormat="false" ht="15" hidden="false" customHeight="false" outlineLevel="0" collapsed="false">
      <c r="A24" s="13" t="s">
        <v>163</v>
      </c>
      <c r="B24" s="19" t="s">
        <v>155</v>
      </c>
      <c r="C24" s="23" t="n">
        <v>0</v>
      </c>
      <c r="D24" s="23" t="n">
        <f aca="false">D17+D18+D21+D22+D23</f>
        <v>540</v>
      </c>
      <c r="E24" s="23" t="n">
        <f aca="false">E17+E18+E21+E22+E23</f>
        <v>1009.8</v>
      </c>
      <c r="F24" s="23" t="n">
        <f aca="false">F17+F18+F21+F22+F23</f>
        <v>1805.946</v>
      </c>
      <c r="G24" s="23" t="n">
        <f aca="false">G17+G18+G21+G22+G23</f>
        <v>2529.76242</v>
      </c>
      <c r="H24" s="23" t="n">
        <f aca="false">H17+H18+H21+H22+H23</f>
        <v>3190.7893434</v>
      </c>
      <c r="I24" s="23" t="n">
        <f aca="false">I17+I18+I21+I22+I23</f>
        <v>3797.289750018</v>
      </c>
      <c r="J24" s="23" t="n">
        <f aca="false">J17+J18+J21+J22+J23</f>
        <v>4356.42975212586</v>
      </c>
      <c r="K24" s="23" t="n">
        <f aca="false">K17+K18+K21+K22+K23</f>
        <v>4874.43272110415</v>
      </c>
      <c r="L24" s="23" t="n">
        <f aca="false">L17+L18+L21+L22+L23</f>
        <v>5356.71114743449</v>
      </c>
      <c r="M24" s="23" t="n">
        <f aca="false">M17+M18+M21+M22+M23</f>
        <v>5807.97950624302</v>
      </c>
      <c r="N24" s="23" t="n">
        <f aca="false">N17+N18+N21+N22+N23</f>
        <v>6232.35091520754</v>
      </c>
      <c r="O24" s="23" t="n">
        <f aca="false">O17+O18+O21+O22+O23</f>
        <v>6633.41995861549</v>
      </c>
      <c r="P24" s="23" t="n">
        <f aca="false">P17+P18+P21+P22+P23</f>
        <v>7014.33369988891</v>
      </c>
      <c r="Q24" s="23" t="n">
        <f aca="false">Q17+Q18+Q21+Q22+Q23</f>
        <v>7377.85260577449</v>
      </c>
      <c r="R24" s="23" t="n">
        <f aca="false">R17+R18+R21+R22+R23</f>
        <v>7726.40285080831</v>
      </c>
      <c r="S24" s="23" t="n">
        <f aca="false">S17+S18+S21+S22+S23</f>
        <v>8062.12125395367</v>
      </c>
      <c r="T24" s="23" t="n">
        <f aca="false">T17+T18+T21+T22+T23</f>
        <v>8386.89391481928</v>
      </c>
      <c r="U24" s="23" t="n">
        <f aca="false">U17+U18+U21+U22+U23</f>
        <v>8702.3894597848</v>
      </c>
      <c r="V24" s="23" t="n">
        <f aca="false">V17+V18+V21+V22+V23</f>
        <v>9010.0876745998</v>
      </c>
      <c r="W24" s="23" t="n">
        <f aca="false">W17+W18+W21+W22+W23</f>
        <v>9311.30418610269</v>
      </c>
      <c r="X24" s="23" t="n">
        <f aca="false">X17+X18+X21+X22+X23</f>
        <v>9607.21175866974</v>
      </c>
      <c r="Y24" s="23" t="n">
        <f aca="false">Y17+Y18+Y21+Y22+Y23</f>
        <v>9898.85868833426</v>
      </c>
      <c r="Z24" s="23" t="n">
        <f aca="false">Z17+Z18+Z21+Z22+Z23</f>
        <v>10187.1847070734</v>
      </c>
      <c r="AA24" s="23" t="n">
        <f aca="false">AA17+AA18+AA21+AA22+AA23</f>
        <v>10473.0347497242</v>
      </c>
      <c r="AB24" s="23" t="n">
        <f aca="false">AB17+AB18+AB21+AB22+AB23</f>
        <v>10757.1708848116</v>
      </c>
      <c r="AC24" s="23" t="n">
        <f aca="false">AC17+AC18+AC21+AC22+AC23</f>
        <v>11040.282666938</v>
      </c>
      <c r="AD24" s="23" t="n">
        <f aca="false">AD17+AD18+AD21+AD22+AD23</f>
        <v>11322.9961311656</v>
      </c>
      <c r="AE24" s="23" t="n">
        <f aca="false">AE17+AE18+AE21+AE22+AE23</f>
        <v>11605.8816180776</v>
      </c>
      <c r="AF24" s="23" t="n">
        <f aca="false">AF17+AF18+AF21+AF22+AF23</f>
        <v>11889.4605911152</v>
      </c>
      <c r="AG24" s="23" t="n">
        <f aca="false">AG17+AG18+AG21+AG22+AG23</f>
        <v>12174.2115846604</v>
      </c>
      <c r="AH24" s="23" t="n">
        <f aca="false">AH17+AH18+AH21+AH22+AH23</f>
        <v>12460.5754015943</v>
      </c>
      <c r="AI24" s="23" t="n">
        <f aca="false">AI17+AI18+AI21+AI22+AI23</f>
        <v>12748.959662195</v>
      </c>
      <c r="AJ24" s="23" t="n">
        <f aca="false">AJ17+AJ18+AJ21+AJ22+AJ23</f>
        <v>13039.7427918274</v>
      </c>
      <c r="AK24" s="23" t="n">
        <f aca="false">AK17+AK18+AK21+AK22+AK23</f>
        <v>13333.2775225629</v>
      </c>
      <c r="AL24" s="23" t="n">
        <f aca="false">AL17+AL18+AL21+AL22+AL23</f>
        <v>13629.8939733295</v>
      </c>
      <c r="AM24" s="23" t="n">
        <f aca="false">AM17+AM18+AM21+AM22+AM23</f>
        <v>13929.9023641831</v>
      </c>
      <c r="AN24" s="23" t="n">
        <f aca="false">AN17+AN18+AN21+AN22+AN23</f>
        <v>14233.5954125753</v>
      </c>
      <c r="AO24" s="23" t="n">
        <f aca="false">AO17+AO18+AO21+AO22+AO23</f>
        <v>14541.2504528843</v>
      </c>
      <c r="AP24" s="23" t="n">
        <f aca="false">AP17+AP18+AP21+AP22+AP23</f>
        <v>14853.1313148168</v>
      </c>
      <c r="AQ24" s="23" t="n">
        <f aca="false">AQ17+AQ18+AQ21+AQ22+AQ23</f>
        <v>15169.4899914326</v>
      </c>
      <c r="AR24" s="23" t="n">
        <f aca="false">AR17+AR18+AR21+AR22+AR23</f>
        <v>15490.5681233787</v>
      </c>
      <c r="AS24" s="23" t="n">
        <f aca="false">AS17+AS18+AS21+AS22+AS23</f>
        <v>15816.5983223442</v>
      </c>
      <c r="AT24" s="23" t="n">
        <f aca="false">AT17+AT18+AT21+AT22+AT23</f>
        <v>16147.8053536766</v>
      </c>
      <c r="AU24" s="23" t="n">
        <f aca="false">AU17+AU18+AU21+AU22+AU23</f>
        <v>16484.4071954562</v>
      </c>
      <c r="AV24" s="23" t="n">
        <f aca="false">AV17+AV18+AV21+AV22+AV23</f>
        <v>16826.6159890545</v>
      </c>
      <c r="AW24" s="23" t="n">
        <f aca="false">AW17+AW18+AW21+AW22+AW23</f>
        <v>17174.6388942453</v>
      </c>
      <c r="AX24" s="23" t="n">
        <f aca="false">AX17+AX18+AX21+AX22+AX23</f>
        <v>17528.6788602485</v>
      </c>
      <c r="AY24" s="23" t="n">
        <f aca="false">AY17+AY18+AY21+AY22+AY23</f>
        <v>17888.9353226325</v>
      </c>
      <c r="AZ24" s="23" t="n">
        <f aca="false">AZ17+AZ18+AZ21+AZ22+AZ23</f>
        <v>18255.6048347434</v>
      </c>
      <c r="BA24" s="23" t="n">
        <f aca="false">BA17+BA18+BA21+BA22+BA23</f>
        <v>18628.8816412434</v>
      </c>
      <c r="BB24" s="23" t="n">
        <f aca="false">BB17+BB18+BB21+BB22+BB23</f>
        <v>19008.9582003987</v>
      </c>
      <c r="BC24" s="23" t="n">
        <f aca="false">BC17+BC18+BC21+BC22+BC23</f>
        <v>19396.0256609438</v>
      </c>
      <c r="BD24" s="23" t="n">
        <f aca="false">BD17+BD18+BD21+BD22+BD23</f>
        <v>19790.2742986431</v>
      </c>
      <c r="BE24" s="23" t="n">
        <f aca="false">BE17+BE18+BE21+BE22+BE23</f>
        <v>20191.8939170542</v>
      </c>
      <c r="BF24" s="23" t="n">
        <f aca="false">BF17+BF18+BF21+BF22+BF23</f>
        <v>20601.0742164673</v>
      </c>
      <c r="BG24" s="23" t="n">
        <f aca="false">BG17+BG18+BG21+BG22+BG23</f>
        <v>21018.0051345274</v>
      </c>
      <c r="BH24" s="23" t="n">
        <f aca="false">BH17+BH18+BH21+BH22+BH23</f>
        <v>21442.8771616431</v>
      </c>
      <c r="BI24" s="23" t="n">
        <f aca="false">BI17+BI18+BI21+BI22+BI23</f>
        <v>21875.8816339311</v>
      </c>
      <c r="BJ24" s="23" t="n">
        <f aca="false">BJ17+BJ18+BJ21+BJ22+BJ23</f>
        <v>22317.2110061366</v>
      </c>
      <c r="BK24" s="23" t="n">
        <f aca="false">BK17+BK18+BK21+BK22+BK23</f>
        <v>22767.0591067011</v>
      </c>
    </row>
    <row r="26" customFormat="false" ht="15" hidden="false" customHeight="false" outlineLevel="0" collapsed="false">
      <c r="A26" s="12" t="s">
        <v>164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</row>
    <row r="27" customFormat="false" ht="15" hidden="false" customHeight="false" outlineLevel="0" collapsed="false">
      <c r="A27" s="9" t="s">
        <v>165</v>
      </c>
      <c r="B27" s="19" t="s">
        <v>155</v>
      </c>
      <c r="C27" s="22" t="n">
        <v>0</v>
      </c>
      <c r="D27" s="22" t="n">
        <f aca="false">D14*Premissas!$B$28</f>
        <v>1080</v>
      </c>
      <c r="E27" s="22" t="n">
        <f aca="false">E14*Premissas!$B$28</f>
        <v>2019.6</v>
      </c>
      <c r="F27" s="22" t="n">
        <f aca="false">F14*Premissas!$B$28</f>
        <v>2840.292</v>
      </c>
      <c r="G27" s="22" t="n">
        <f aca="false">G14*Premissas!$B$28</f>
        <v>3562.62084</v>
      </c>
      <c r="H27" s="22" t="n">
        <f aca="false">H14*Premissas!$B$28</f>
        <v>4201.6543668</v>
      </c>
      <c r="I27" s="22" t="n">
        <f aca="false">I14*Premissas!$B$28</f>
        <v>4770.221032836</v>
      </c>
      <c r="J27" s="22" t="n">
        <f aca="false">J14*Premissas!$B$28</f>
        <v>5279.24505977172</v>
      </c>
      <c r="K27" s="22" t="n">
        <f aca="false">K14*Premissas!$B$28</f>
        <v>5738.03140553758</v>
      </c>
      <c r="L27" s="22" t="n">
        <f aca="false">L14*Premissas!$B$28</f>
        <v>6154.50805842782</v>
      </c>
      <c r="M27" s="22" t="n">
        <f aca="false">M14*Premissas!$B$28</f>
        <v>6535.43205380198</v>
      </c>
      <c r="N27" s="22" t="n">
        <f aca="false">N14*Premissas!$B$28</f>
        <v>6886.5646500444</v>
      </c>
      <c r="O27" s="22" t="n">
        <f aca="false">O14*Premissas!$B$28</f>
        <v>7212.82028534098</v>
      </c>
      <c r="P27" s="22" t="n">
        <f aca="false">P14*Premissas!$B$28</f>
        <v>7518.39324397107</v>
      </c>
      <c r="Q27" s="22" t="n">
        <f aca="false">Q14*Premissas!$B$28</f>
        <v>7806.86537184945</v>
      </c>
      <c r="R27" s="22" t="n">
        <f aca="false">R14*Premissas!$B$28</f>
        <v>8081.2976804086</v>
      </c>
      <c r="S27" s="22" t="n">
        <f aca="false">S14*Premissas!$B$28</f>
        <v>8344.30825233781</v>
      </c>
      <c r="T27" s="22" t="n">
        <f aca="false">T14*Premissas!$B$28</f>
        <v>8598.13850093527</v>
      </c>
      <c r="U27" s="22" t="n">
        <f aca="false">U14*Premissas!$B$28</f>
        <v>8844.70952731168</v>
      </c>
      <c r="V27" s="22" t="n">
        <f aca="false">V14*Premissas!$B$28</f>
        <v>9085.67005827439</v>
      </c>
      <c r="W27" s="22" t="n">
        <f aca="false">W14*Premissas!$B$28</f>
        <v>9322.43722550532</v>
      </c>
      <c r="X27" s="22" t="n">
        <f aca="false">X14*Premissas!$B$28</f>
        <v>9556.23125774557</v>
      </c>
      <c r="Y27" s="22" t="n">
        <f aca="false">Y14*Premissas!$B$28</f>
        <v>9788.10499711967</v>
      </c>
      <c r="Z27" s="22" t="n">
        <f aca="false">Z14*Premissas!$B$28</f>
        <v>10018.969014225</v>
      </c>
      <c r="AA27" s="22" t="n">
        <f aca="false">AA14*Premissas!$B$28</f>
        <v>10249.6129805686</v>
      </c>
      <c r="AB27" s="22" t="n">
        <f aca="false">AB14*Premissas!$B$28</f>
        <v>10480.7238582831</v>
      </c>
      <c r="AC27" s="22" t="n">
        <f aca="false">AC14*Premissas!$B$28</f>
        <v>10712.9013831931</v>
      </c>
      <c r="AD27" s="22" t="n">
        <f aca="false">AD14*Premissas!$B$28</f>
        <v>10946.6712460077</v>
      </c>
      <c r="AE27" s="22" t="n">
        <f aca="false">AE14*Premissas!$B$28</f>
        <v>11182.4963158088</v>
      </c>
      <c r="AF27" s="22" t="n">
        <f aca="false">AF14*Premissas!$B$28</f>
        <v>11420.7861984761</v>
      </c>
      <c r="AG27" s="22" t="n">
        <f aca="false">AG14*Premissas!$B$28</f>
        <v>11661.9053788905</v>
      </c>
      <c r="AH27" s="22" t="n">
        <f aca="false">AH14*Premissas!$B$28</f>
        <v>11906.1801585089</v>
      </c>
      <c r="AI27" s="22" t="n">
        <f aca="false">AI14*Premissas!$B$28</f>
        <v>12153.9045682512</v>
      </c>
      <c r="AJ27" s="22" t="n">
        <f aca="false">AJ14*Premissas!$B$28</f>
        <v>12405.3454097131</v>
      </c>
      <c r="AK27" s="22" t="n">
        <f aca="false">AK14*Premissas!$B$28</f>
        <v>12660.7465548394</v>
      </c>
      <c r="AL27" s="22" t="n">
        <f aca="false">AL14*Premissas!$B$28</f>
        <v>12920.3326147301</v>
      </c>
      <c r="AM27" s="22" t="n">
        <f aca="false">AM14*Premissas!$B$28</f>
        <v>13184.3120717092</v>
      </c>
      <c r="AN27" s="22" t="n">
        <f aca="false">AN14*Premissas!$B$28</f>
        <v>13452.879954718</v>
      </c>
      <c r="AO27" s="22" t="n">
        <f aca="false">AO14*Premissas!$B$28</f>
        <v>13726.2201261362</v>
      </c>
      <c r="AP27" s="22" t="n">
        <f aca="false">AP14*Premissas!$B$28</f>
        <v>14004.5072379607</v>
      </c>
      <c r="AQ27" s="22" t="n">
        <f aca="false">AQ14*Premissas!$B$28</f>
        <v>14287.908406627</v>
      </c>
      <c r="AR27" s="22" t="n">
        <f aca="false">AR14*Premissas!$B$28</f>
        <v>14576.5846484009</v>
      </c>
      <c r="AS27" s="22" t="n">
        <f aca="false">AS14*Premissas!$B$28</f>
        <v>14870.6921110188</v>
      </c>
      <c r="AT27" s="22" t="n">
        <f aca="false">AT14*Premissas!$B$28</f>
        <v>15170.383131932</v>
      </c>
      <c r="AU27" s="22" t="n">
        <f aca="false">AU14*Premissas!$B$28</f>
        <v>15475.8071489907</v>
      </c>
      <c r="AV27" s="22" t="n">
        <f aca="false">AV14*Premissas!$B$28</f>
        <v>15787.1114855563</v>
      </c>
      <c r="AW27" s="22" t="n">
        <f aca="false">AW14*Premissas!$B$28</f>
        <v>16104.4420287577</v>
      </c>
      <c r="AX27" s="22" t="n">
        <f aca="false">AX14*Premissas!$B$28</f>
        <v>16427.9438168265</v>
      </c>
      <c r="AY27" s="22" t="n">
        <f aca="false">AY14*Premissas!$B$28</f>
        <v>16757.7615490775</v>
      </c>
      <c r="AZ27" s="22" t="n">
        <f aca="false">AZ14*Premissas!$B$28</f>
        <v>17094.0400300876</v>
      </c>
      <c r="BA27" s="22" t="n">
        <f aca="false">BA14*Premissas!$B$28</f>
        <v>17436.9245579148</v>
      </c>
      <c r="BB27" s="22" t="n">
        <f aca="false">BB14*Premissas!$B$28</f>
        <v>17786.5612647397</v>
      </c>
      <c r="BC27" s="22" t="n">
        <f aca="false">BC14*Premissas!$B$28</f>
        <v>18143.0974170742</v>
      </c>
      <c r="BD27" s="22" t="n">
        <f aca="false">BD14*Premissas!$B$28</f>
        <v>18506.6816816246</v>
      </c>
      <c r="BE27" s="22" t="n">
        <f aca="false">BE14*Premissas!$B$28</f>
        <v>18877.4643620019</v>
      </c>
      <c r="BF27" s="22" t="n">
        <f aca="false">BF14*Premissas!$B$28</f>
        <v>19255.5976107048</v>
      </c>
      <c r="BG27" s="22" t="n">
        <f aca="false">BG14*Premissas!$B$28</f>
        <v>19641.2356201538</v>
      </c>
      <c r="BH27" s="22" t="n">
        <f aca="false">BH14*Premissas!$B$28</f>
        <v>20034.5347959986</v>
      </c>
      <c r="BI27" s="22" t="n">
        <f aca="false">BI14*Premissas!$B$28</f>
        <v>20435.6539154528</v>
      </c>
      <c r="BJ27" s="22" t="n">
        <f aca="false">BJ14*Premissas!$B$28</f>
        <v>20844.7542730061</v>
      </c>
      <c r="BK27" s="22" t="n">
        <f aca="false">BK14*Premissas!$B$28</f>
        <v>21261.9998155245</v>
      </c>
    </row>
    <row r="28" customFormat="false" ht="15" hidden="false" customHeight="false" outlineLevel="0" collapsed="false">
      <c r="A28" s="9" t="s">
        <v>166</v>
      </c>
      <c r="B28" s="19" t="s">
        <v>155</v>
      </c>
      <c r="C28" s="22" t="n">
        <v>0</v>
      </c>
      <c r="D28" s="22" t="n">
        <f aca="false">ROUNDUP(D13/Premissas!$B$29,0)*Premissas!$B$30</f>
        <v>0</v>
      </c>
      <c r="E28" s="22" t="n">
        <f aca="false">ROUNDUP(E13/Premissas!$B$29,0)*Premissas!$B$30</f>
        <v>0</v>
      </c>
      <c r="F28" s="22" t="n">
        <f aca="false">ROUNDUP(F13/Premissas!$B$29,0)*Premissas!$B$30</f>
        <v>9000</v>
      </c>
      <c r="G28" s="22" t="n">
        <f aca="false">ROUNDUP(G13/Premissas!$B$29,0)*Premissas!$B$30</f>
        <v>9000</v>
      </c>
      <c r="H28" s="22" t="n">
        <f aca="false">ROUNDUP(H13/Premissas!$B$29,0)*Premissas!$B$30</f>
        <v>9000</v>
      </c>
      <c r="I28" s="22" t="n">
        <f aca="false">ROUNDUP(I13/Premissas!$B$29,0)*Premissas!$B$30</f>
        <v>9000</v>
      </c>
      <c r="J28" s="22" t="n">
        <f aca="false">ROUNDUP(J13/Premissas!$B$29,0)*Premissas!$B$30</f>
        <v>9000</v>
      </c>
      <c r="K28" s="22" t="n">
        <f aca="false">ROUNDUP(K13/Premissas!$B$29,0)*Premissas!$B$30</f>
        <v>9000</v>
      </c>
      <c r="L28" s="22" t="n">
        <f aca="false">ROUNDUP(L13/Premissas!$B$29,0)*Premissas!$B$30</f>
        <v>9000</v>
      </c>
      <c r="M28" s="22" t="n">
        <f aca="false">ROUNDUP(M13/Premissas!$B$29,0)*Premissas!$B$30</f>
        <v>9000</v>
      </c>
      <c r="N28" s="22" t="n">
        <f aca="false">ROUNDUP(N13/Premissas!$B$29,0)*Premissas!$B$30</f>
        <v>9000</v>
      </c>
      <c r="O28" s="22" t="n">
        <f aca="false">ROUNDUP(O13/Premissas!$B$29,0)*Premissas!$B$30</f>
        <v>9000</v>
      </c>
      <c r="P28" s="22" t="n">
        <f aca="false">ROUNDUP(P13/Premissas!$B$29,0)*Premissas!$B$30</f>
        <v>9000</v>
      </c>
      <c r="Q28" s="22" t="n">
        <f aca="false">ROUNDUP(Q13/Premissas!$B$29,0)*Premissas!$B$30</f>
        <v>9000</v>
      </c>
      <c r="R28" s="22" t="n">
        <f aca="false">ROUNDUP(R13/Premissas!$B$29,0)*Premissas!$B$30</f>
        <v>9000</v>
      </c>
      <c r="S28" s="22" t="n">
        <f aca="false">ROUNDUP(S13/Premissas!$B$29,0)*Premissas!$B$30</f>
        <v>9000</v>
      </c>
      <c r="T28" s="22" t="n">
        <f aca="false">ROUNDUP(T13/Premissas!$B$29,0)*Premissas!$B$30</f>
        <v>9000</v>
      </c>
      <c r="U28" s="22" t="n">
        <f aca="false">ROUNDUP(U13/Premissas!$B$29,0)*Premissas!$B$30</f>
        <v>9000</v>
      </c>
      <c r="V28" s="22" t="n">
        <f aca="false">ROUNDUP(V13/Premissas!$B$29,0)*Premissas!$B$30</f>
        <v>9000</v>
      </c>
      <c r="W28" s="22" t="n">
        <f aca="false">ROUNDUP(W13/Premissas!$B$29,0)*Premissas!$B$30</f>
        <v>9000</v>
      </c>
      <c r="X28" s="22" t="n">
        <f aca="false">ROUNDUP(X13/Premissas!$B$29,0)*Premissas!$B$30</f>
        <v>9000</v>
      </c>
      <c r="Y28" s="22" t="n">
        <f aca="false">ROUNDUP(Y13/Premissas!$B$29,0)*Premissas!$B$30</f>
        <v>9000</v>
      </c>
      <c r="Z28" s="22" t="n">
        <f aca="false">ROUNDUP(Z13/Premissas!$B$29,0)*Premissas!$B$30</f>
        <v>9000</v>
      </c>
      <c r="AA28" s="22" t="n">
        <f aca="false">ROUNDUP(AA13/Premissas!$B$29,0)*Premissas!$B$30</f>
        <v>9000</v>
      </c>
      <c r="AB28" s="22" t="n">
        <f aca="false">ROUNDUP(AB13/Premissas!$B$29,0)*Premissas!$B$30</f>
        <v>9000</v>
      </c>
      <c r="AC28" s="22" t="n">
        <f aca="false">ROUNDUP(AC13/Premissas!$B$29,0)*Premissas!$B$30</f>
        <v>9000</v>
      </c>
      <c r="AD28" s="22" t="n">
        <f aca="false">ROUNDUP(AD13/Premissas!$B$29,0)*Premissas!$B$30</f>
        <v>9000</v>
      </c>
      <c r="AE28" s="22" t="n">
        <f aca="false">ROUNDUP(AE13/Premissas!$B$29,0)*Premissas!$B$30</f>
        <v>9000</v>
      </c>
      <c r="AF28" s="22" t="n">
        <f aca="false">ROUNDUP(AF13/Premissas!$B$29,0)*Premissas!$B$30</f>
        <v>9000</v>
      </c>
      <c r="AG28" s="22" t="n">
        <f aca="false">ROUNDUP(AG13/Premissas!$B$29,0)*Premissas!$B$30</f>
        <v>9000</v>
      </c>
      <c r="AH28" s="22" t="n">
        <f aca="false">ROUNDUP(AH13/Premissas!$B$29,0)*Premissas!$B$30</f>
        <v>9000</v>
      </c>
      <c r="AI28" s="22" t="n">
        <f aca="false">ROUNDUP(AI13/Premissas!$B$29,0)*Premissas!$B$30</f>
        <v>9000</v>
      </c>
      <c r="AJ28" s="22" t="n">
        <f aca="false">ROUNDUP(AJ13/Premissas!$B$29,0)*Premissas!$B$30</f>
        <v>9000</v>
      </c>
      <c r="AK28" s="22" t="n">
        <f aca="false">ROUNDUP(AK13/Premissas!$B$29,0)*Premissas!$B$30</f>
        <v>9000</v>
      </c>
      <c r="AL28" s="22" t="n">
        <f aca="false">ROUNDUP(AL13/Premissas!$B$29,0)*Premissas!$B$30</f>
        <v>9000</v>
      </c>
      <c r="AM28" s="22" t="n">
        <f aca="false">ROUNDUP(AM13/Premissas!$B$29,0)*Premissas!$B$30</f>
        <v>9000</v>
      </c>
      <c r="AN28" s="22" t="n">
        <f aca="false">ROUNDUP(AN13/Premissas!$B$29,0)*Premissas!$B$30</f>
        <v>9000</v>
      </c>
      <c r="AO28" s="22" t="n">
        <f aca="false">ROUNDUP(AO13/Premissas!$B$29,0)*Premissas!$B$30</f>
        <v>9000</v>
      </c>
      <c r="AP28" s="22" t="n">
        <f aca="false">ROUNDUP(AP13/Premissas!$B$29,0)*Premissas!$B$30</f>
        <v>9000</v>
      </c>
      <c r="AQ28" s="22" t="n">
        <f aca="false">ROUNDUP(AQ13/Premissas!$B$29,0)*Premissas!$B$30</f>
        <v>9000</v>
      </c>
      <c r="AR28" s="22" t="n">
        <f aca="false">ROUNDUP(AR13/Premissas!$B$29,0)*Premissas!$B$30</f>
        <v>9000</v>
      </c>
      <c r="AS28" s="22" t="n">
        <f aca="false">ROUNDUP(AS13/Premissas!$B$29,0)*Premissas!$B$30</f>
        <v>9000</v>
      </c>
      <c r="AT28" s="22" t="n">
        <f aca="false">ROUNDUP(AT13/Premissas!$B$29,0)*Premissas!$B$30</f>
        <v>9000</v>
      </c>
      <c r="AU28" s="22" t="n">
        <f aca="false">ROUNDUP(AU13/Premissas!$B$29,0)*Premissas!$B$30</f>
        <v>9000</v>
      </c>
      <c r="AV28" s="22" t="n">
        <f aca="false">ROUNDUP(AV13/Premissas!$B$29,0)*Premissas!$B$30</f>
        <v>9000</v>
      </c>
      <c r="AW28" s="22" t="n">
        <f aca="false">ROUNDUP(AW13/Premissas!$B$29,0)*Premissas!$B$30</f>
        <v>9000</v>
      </c>
      <c r="AX28" s="22" t="n">
        <f aca="false">ROUNDUP(AX13/Premissas!$B$29,0)*Premissas!$B$30</f>
        <v>9000</v>
      </c>
      <c r="AY28" s="22" t="n">
        <f aca="false">ROUNDUP(AY13/Premissas!$B$29,0)*Premissas!$B$30</f>
        <v>9000</v>
      </c>
      <c r="AZ28" s="22" t="n">
        <f aca="false">ROUNDUP(AZ13/Premissas!$B$29,0)*Premissas!$B$30</f>
        <v>9000</v>
      </c>
      <c r="BA28" s="22" t="n">
        <f aca="false">ROUNDUP(BA13/Premissas!$B$29,0)*Premissas!$B$30</f>
        <v>9000</v>
      </c>
      <c r="BB28" s="22" t="n">
        <f aca="false">ROUNDUP(BB13/Premissas!$B$29,0)*Premissas!$B$30</f>
        <v>9000</v>
      </c>
      <c r="BC28" s="22" t="n">
        <f aca="false">ROUNDUP(BC13/Premissas!$B$29,0)*Premissas!$B$30</f>
        <v>9000</v>
      </c>
      <c r="BD28" s="22" t="n">
        <f aca="false">ROUNDUP(BD13/Premissas!$B$29,0)*Premissas!$B$30</f>
        <v>9000</v>
      </c>
      <c r="BE28" s="22" t="n">
        <f aca="false">ROUNDUP(BE13/Premissas!$B$29,0)*Premissas!$B$30</f>
        <v>9000</v>
      </c>
      <c r="BF28" s="22" t="n">
        <f aca="false">ROUNDUP(BF13/Premissas!$B$29,0)*Premissas!$B$30</f>
        <v>9000</v>
      </c>
      <c r="BG28" s="22" t="n">
        <f aca="false">ROUNDUP(BG13/Premissas!$B$29,0)*Premissas!$B$30</f>
        <v>9000</v>
      </c>
      <c r="BH28" s="22" t="n">
        <f aca="false">ROUNDUP(BH13/Premissas!$B$29,0)*Premissas!$B$30</f>
        <v>9000</v>
      </c>
      <c r="BI28" s="22" t="n">
        <f aca="false">ROUNDUP(BI13/Premissas!$B$29,0)*Premissas!$B$30</f>
        <v>9000</v>
      </c>
      <c r="BJ28" s="22" t="n">
        <f aca="false">ROUNDUP(BJ13/Premissas!$B$29,0)*Premissas!$B$30</f>
        <v>9000</v>
      </c>
      <c r="BK28" s="22" t="n">
        <f aca="false">ROUNDUP(BK13/Premissas!$B$29,0)*Premissas!$B$30</f>
        <v>9000</v>
      </c>
    </row>
    <row r="29" customFormat="false" ht="15" hidden="false" customHeight="false" outlineLevel="0" collapsed="false">
      <c r="A29" s="9" t="s">
        <v>167</v>
      </c>
      <c r="B29" s="19" t="s">
        <v>155</v>
      </c>
      <c r="C29" s="22" t="n">
        <v>0</v>
      </c>
      <c r="D29" s="22" t="n">
        <f aca="false">D6*Premissas!$B$27</f>
        <v>7200</v>
      </c>
      <c r="E29" s="22" t="n">
        <f aca="false">E6*Premissas!$B$27</f>
        <v>7344</v>
      </c>
      <c r="F29" s="22" t="n">
        <f aca="false">F6*Premissas!$B$27</f>
        <v>7490.88</v>
      </c>
      <c r="G29" s="22" t="n">
        <f aca="false">G6*Premissas!$B$27</f>
        <v>7640.6976</v>
      </c>
      <c r="H29" s="22" t="n">
        <f aca="false">H6*Premissas!$B$27</f>
        <v>7793.511552</v>
      </c>
      <c r="I29" s="22" t="n">
        <f aca="false">I6*Premissas!$B$27</f>
        <v>7949.38178304</v>
      </c>
      <c r="J29" s="22" t="n">
        <f aca="false">J6*Premissas!$B$27</f>
        <v>8108.3694187008</v>
      </c>
      <c r="K29" s="22" t="n">
        <f aca="false">K6*Premissas!$B$27</f>
        <v>8270.53680707482</v>
      </c>
      <c r="L29" s="22" t="n">
        <f aca="false">L6*Premissas!$B$27</f>
        <v>8435.94754321631</v>
      </c>
      <c r="M29" s="22" t="n">
        <f aca="false">M6*Premissas!$B$27</f>
        <v>8604.66649408064</v>
      </c>
      <c r="N29" s="22" t="n">
        <f aca="false">N6*Premissas!$B$27</f>
        <v>8776.75982396225</v>
      </c>
      <c r="O29" s="22" t="n">
        <f aca="false">O6*Premissas!$B$27</f>
        <v>8952.2950204415</v>
      </c>
      <c r="P29" s="22" t="n">
        <f aca="false">P6*Premissas!$B$27</f>
        <v>9131.34092085033</v>
      </c>
      <c r="Q29" s="22" t="n">
        <f aca="false">Q6*Premissas!$B$27</f>
        <v>9313.96773926733</v>
      </c>
      <c r="R29" s="22" t="n">
        <f aca="false">R6*Premissas!$B$27</f>
        <v>9500.24709405268</v>
      </c>
      <c r="S29" s="22" t="n">
        <f aca="false">S6*Premissas!$B$27</f>
        <v>9690.25203593373</v>
      </c>
      <c r="T29" s="22" t="n">
        <f aca="false">T6*Premissas!$B$27</f>
        <v>9884.05707665241</v>
      </c>
      <c r="U29" s="22" t="n">
        <f aca="false">U6*Premissas!$B$27</f>
        <v>10081.7382181855</v>
      </c>
      <c r="V29" s="22" t="n">
        <f aca="false">V6*Premissas!$B$27</f>
        <v>10283.3729825492</v>
      </c>
      <c r="W29" s="22" t="n">
        <f aca="false">W6*Premissas!$B$27</f>
        <v>10489.0404422002</v>
      </c>
      <c r="X29" s="22" t="n">
        <f aca="false">X6*Premissas!$B$27</f>
        <v>10698.8212510442</v>
      </c>
      <c r="Y29" s="22" t="n">
        <f aca="false">Y6*Premissas!$B$27</f>
        <v>10912.797676065</v>
      </c>
      <c r="Z29" s="22" t="n">
        <f aca="false">Z6*Premissas!$B$27</f>
        <v>11131.0536295863</v>
      </c>
      <c r="AA29" s="22" t="n">
        <f aca="false">AA6*Premissas!$B$27</f>
        <v>11353.6747021781</v>
      </c>
      <c r="AB29" s="22" t="n">
        <f aca="false">AB6*Premissas!$B$27</f>
        <v>11580.7481962216</v>
      </c>
      <c r="AC29" s="22" t="n">
        <f aca="false">AC6*Premissas!$B$27</f>
        <v>11812.3631601461</v>
      </c>
      <c r="AD29" s="22" t="n">
        <f aca="false">AD6*Premissas!$B$27</f>
        <v>12048.610423349</v>
      </c>
      <c r="AE29" s="22" t="n">
        <f aca="false">AE6*Premissas!$B$27</f>
        <v>12289.582631816</v>
      </c>
      <c r="AF29" s="22" t="n">
        <f aca="false">AF6*Premissas!$B$27</f>
        <v>12535.3742844523</v>
      </c>
      <c r="AG29" s="22" t="n">
        <f aca="false">AG6*Premissas!$B$27</f>
        <v>12786.0817701413</v>
      </c>
      <c r="AH29" s="22" t="n">
        <f aca="false">AH6*Premissas!$B$27</f>
        <v>13041.8034055442</v>
      </c>
      <c r="AI29" s="22" t="n">
        <f aca="false">AI6*Premissas!$B$27</f>
        <v>13302.639473655</v>
      </c>
      <c r="AJ29" s="22" t="n">
        <f aca="false">AJ6*Premissas!$B$27</f>
        <v>13568.6922631281</v>
      </c>
      <c r="AK29" s="22" t="n">
        <f aca="false">AK6*Premissas!$B$27</f>
        <v>13840.0661083907</v>
      </c>
      <c r="AL29" s="22" t="n">
        <f aca="false">AL6*Premissas!$B$27</f>
        <v>14116.8674305585</v>
      </c>
      <c r="AM29" s="22" t="n">
        <f aca="false">AM6*Premissas!$B$27</f>
        <v>14399.2047791697</v>
      </c>
      <c r="AN29" s="22" t="n">
        <f aca="false">AN6*Premissas!$B$27</f>
        <v>14687.1888747531</v>
      </c>
      <c r="AO29" s="22" t="n">
        <f aca="false">AO6*Premissas!$B$27</f>
        <v>14980.9326522481</v>
      </c>
      <c r="AP29" s="22" t="n">
        <f aca="false">AP6*Premissas!$B$27</f>
        <v>15280.5513052931</v>
      </c>
      <c r="AQ29" s="22" t="n">
        <f aca="false">AQ6*Premissas!$B$27</f>
        <v>15586.162331399</v>
      </c>
      <c r="AR29" s="22" t="n">
        <f aca="false">AR6*Premissas!$B$27</f>
        <v>15897.8855780269</v>
      </c>
      <c r="AS29" s="22" t="n">
        <f aca="false">AS6*Premissas!$B$27</f>
        <v>16215.8432895875</v>
      </c>
      <c r="AT29" s="22" t="n">
        <f aca="false">AT6*Premissas!$B$27</f>
        <v>16540.1601553792</v>
      </c>
      <c r="AU29" s="22" t="n">
        <f aca="false">AU6*Premissas!$B$27</f>
        <v>16870.9633584868</v>
      </c>
      <c r="AV29" s="22" t="n">
        <f aca="false">AV6*Premissas!$B$27</f>
        <v>17208.3826256566</v>
      </c>
      <c r="AW29" s="22" t="n">
        <f aca="false">AW6*Premissas!$B$27</f>
        <v>17552.5502781697</v>
      </c>
      <c r="AX29" s="22" t="n">
        <f aca="false">AX6*Premissas!$B$27</f>
        <v>17903.6012837331</v>
      </c>
      <c r="AY29" s="22" t="n">
        <f aca="false">AY6*Premissas!$B$27</f>
        <v>18261.6733094077</v>
      </c>
      <c r="AZ29" s="22" t="n">
        <f aca="false">AZ6*Premissas!$B$27</f>
        <v>18626.9067755959</v>
      </c>
      <c r="BA29" s="22" t="n">
        <f aca="false">BA6*Premissas!$B$27</f>
        <v>18999.4449111078</v>
      </c>
      <c r="BB29" s="22" t="n">
        <f aca="false">BB6*Premissas!$B$27</f>
        <v>19379.43380933</v>
      </c>
      <c r="BC29" s="22" t="n">
        <f aca="false">BC6*Premissas!$B$27</f>
        <v>19767.0224855166</v>
      </c>
      <c r="BD29" s="22" t="n">
        <f aca="false">BD6*Premissas!$B$27</f>
        <v>20162.3629352269</v>
      </c>
      <c r="BE29" s="22" t="n">
        <f aca="false">BE6*Premissas!$B$27</f>
        <v>20565.6101939314</v>
      </c>
      <c r="BF29" s="22" t="n">
        <f aca="false">BF6*Premissas!$B$27</f>
        <v>20976.9223978101</v>
      </c>
      <c r="BG29" s="22" t="n">
        <f aca="false">BG6*Premissas!$B$27</f>
        <v>21396.4608457663</v>
      </c>
      <c r="BH29" s="22" t="n">
        <f aca="false">BH6*Premissas!$B$27</f>
        <v>21824.3900626816</v>
      </c>
      <c r="BI29" s="22" t="n">
        <f aca="false">BI6*Premissas!$B$27</f>
        <v>22260.8778639352</v>
      </c>
      <c r="BJ29" s="22" t="n">
        <f aca="false">BJ6*Premissas!$B$27</f>
        <v>22706.0954212139</v>
      </c>
      <c r="BK29" s="22" t="n">
        <f aca="false">BK6*Premissas!$B$27</f>
        <v>23160.2173296382</v>
      </c>
    </row>
    <row r="30" customFormat="false" ht="15" hidden="false" customHeight="false" outlineLevel="0" collapsed="false">
      <c r="A30" s="9" t="s">
        <v>168</v>
      </c>
      <c r="B30" s="19" t="s">
        <v>155</v>
      </c>
      <c r="C30" s="22" t="n">
        <v>0</v>
      </c>
      <c r="D30" s="22" t="n">
        <f aca="false">Premissas!$B$31</f>
        <v>3000</v>
      </c>
      <c r="E30" s="22" t="n">
        <f aca="false">Premissas!$B$31</f>
        <v>3000</v>
      </c>
      <c r="F30" s="22" t="n">
        <f aca="false">Premissas!$B$31</f>
        <v>3000</v>
      </c>
      <c r="G30" s="22" t="n">
        <f aca="false">Premissas!$B$31</f>
        <v>3000</v>
      </c>
      <c r="H30" s="22" t="n">
        <f aca="false">Premissas!$B$31</f>
        <v>3000</v>
      </c>
      <c r="I30" s="22" t="n">
        <f aca="false">Premissas!$B$31</f>
        <v>3000</v>
      </c>
      <c r="J30" s="22" t="n">
        <f aca="false">Premissas!$B$31</f>
        <v>3000</v>
      </c>
      <c r="K30" s="22" t="n">
        <f aca="false">Premissas!$B$31</f>
        <v>3000</v>
      </c>
      <c r="L30" s="22" t="n">
        <f aca="false">Premissas!$B$31</f>
        <v>3000</v>
      </c>
      <c r="M30" s="22" t="n">
        <f aca="false">Premissas!$B$31</f>
        <v>3000</v>
      </c>
      <c r="N30" s="22" t="n">
        <f aca="false">Premissas!$B$31</f>
        <v>3000</v>
      </c>
      <c r="O30" s="22" t="n">
        <f aca="false">Premissas!$B$31</f>
        <v>3000</v>
      </c>
      <c r="P30" s="22" t="n">
        <f aca="false">Premissas!$B$31</f>
        <v>3000</v>
      </c>
      <c r="Q30" s="22" t="n">
        <f aca="false">Premissas!$B$31</f>
        <v>3000</v>
      </c>
      <c r="R30" s="22" t="n">
        <f aca="false">Premissas!$B$31</f>
        <v>3000</v>
      </c>
      <c r="S30" s="22" t="n">
        <f aca="false">Premissas!$B$31</f>
        <v>3000</v>
      </c>
      <c r="T30" s="22" t="n">
        <f aca="false">Premissas!$B$31</f>
        <v>3000</v>
      </c>
      <c r="U30" s="22" t="n">
        <f aca="false">Premissas!$B$31</f>
        <v>3000</v>
      </c>
      <c r="V30" s="22" t="n">
        <f aca="false">Premissas!$B$31</f>
        <v>3000</v>
      </c>
      <c r="W30" s="22" t="n">
        <f aca="false">Premissas!$B$31</f>
        <v>3000</v>
      </c>
      <c r="X30" s="22" t="n">
        <f aca="false">Premissas!$B$31</f>
        <v>3000</v>
      </c>
      <c r="Y30" s="22" t="n">
        <f aca="false">Premissas!$B$31</f>
        <v>3000</v>
      </c>
      <c r="Z30" s="22" t="n">
        <f aca="false">Premissas!$B$31</f>
        <v>3000</v>
      </c>
      <c r="AA30" s="22" t="n">
        <f aca="false">Premissas!$B$31</f>
        <v>3000</v>
      </c>
      <c r="AB30" s="22" t="n">
        <f aca="false">Premissas!$B$31</f>
        <v>3000</v>
      </c>
      <c r="AC30" s="22" t="n">
        <f aca="false">Premissas!$B$31</f>
        <v>3000</v>
      </c>
      <c r="AD30" s="22" t="n">
        <f aca="false">Premissas!$B$31</f>
        <v>3000</v>
      </c>
      <c r="AE30" s="22" t="n">
        <f aca="false">Premissas!$B$31</f>
        <v>3000</v>
      </c>
      <c r="AF30" s="22" t="n">
        <f aca="false">Premissas!$B$31</f>
        <v>3000</v>
      </c>
      <c r="AG30" s="22" t="n">
        <f aca="false">Premissas!$B$31</f>
        <v>3000</v>
      </c>
      <c r="AH30" s="22" t="n">
        <f aca="false">Premissas!$B$31</f>
        <v>3000</v>
      </c>
      <c r="AI30" s="22" t="n">
        <f aca="false">Premissas!$B$31</f>
        <v>3000</v>
      </c>
      <c r="AJ30" s="22" t="n">
        <f aca="false">Premissas!$B$31</f>
        <v>3000</v>
      </c>
      <c r="AK30" s="22" t="n">
        <f aca="false">Premissas!$B$31</f>
        <v>3000</v>
      </c>
      <c r="AL30" s="22" t="n">
        <f aca="false">Premissas!$B$31</f>
        <v>3000</v>
      </c>
      <c r="AM30" s="22" t="n">
        <f aca="false">Premissas!$B$31</f>
        <v>3000</v>
      </c>
      <c r="AN30" s="22" t="n">
        <f aca="false">Premissas!$B$31</f>
        <v>3000</v>
      </c>
      <c r="AO30" s="22" t="n">
        <f aca="false">Premissas!$B$31</f>
        <v>3000</v>
      </c>
      <c r="AP30" s="22" t="n">
        <f aca="false">Premissas!$B$31</f>
        <v>3000</v>
      </c>
      <c r="AQ30" s="22" t="n">
        <f aca="false">Premissas!$B$31</f>
        <v>3000</v>
      </c>
      <c r="AR30" s="22" t="n">
        <f aca="false">Premissas!$B$31</f>
        <v>3000</v>
      </c>
      <c r="AS30" s="22" t="n">
        <f aca="false">Premissas!$B$31</f>
        <v>3000</v>
      </c>
      <c r="AT30" s="22" t="n">
        <f aca="false">Premissas!$B$31</f>
        <v>3000</v>
      </c>
      <c r="AU30" s="22" t="n">
        <f aca="false">Premissas!$B$31</f>
        <v>3000</v>
      </c>
      <c r="AV30" s="22" t="n">
        <f aca="false">Premissas!$B$31</f>
        <v>3000</v>
      </c>
      <c r="AW30" s="22" t="n">
        <f aca="false">Premissas!$B$31</f>
        <v>3000</v>
      </c>
      <c r="AX30" s="22" t="n">
        <f aca="false">Premissas!$B$31</f>
        <v>3000</v>
      </c>
      <c r="AY30" s="22" t="n">
        <f aca="false">Premissas!$B$31</f>
        <v>3000</v>
      </c>
      <c r="AZ30" s="22" t="n">
        <f aca="false">Premissas!$B$31</f>
        <v>3000</v>
      </c>
      <c r="BA30" s="22" t="n">
        <f aca="false">Premissas!$B$31</f>
        <v>3000</v>
      </c>
      <c r="BB30" s="22" t="n">
        <f aca="false">Premissas!$B$31</f>
        <v>3000</v>
      </c>
      <c r="BC30" s="22" t="n">
        <f aca="false">Premissas!$B$31</f>
        <v>3000</v>
      </c>
      <c r="BD30" s="22" t="n">
        <f aca="false">Premissas!$B$31</f>
        <v>3000</v>
      </c>
      <c r="BE30" s="22" t="n">
        <f aca="false">Premissas!$B$31</f>
        <v>3000</v>
      </c>
      <c r="BF30" s="22" t="n">
        <f aca="false">Premissas!$B$31</f>
        <v>3000</v>
      </c>
      <c r="BG30" s="22" t="n">
        <f aca="false">Premissas!$B$31</f>
        <v>3000</v>
      </c>
      <c r="BH30" s="22" t="n">
        <f aca="false">Premissas!$B$31</f>
        <v>3000</v>
      </c>
      <c r="BI30" s="22" t="n">
        <f aca="false">Premissas!$B$31</f>
        <v>3000</v>
      </c>
      <c r="BJ30" s="22" t="n">
        <f aca="false">Premissas!$B$31</f>
        <v>3000</v>
      </c>
      <c r="BK30" s="22" t="n">
        <f aca="false">Premissas!$B$31</f>
        <v>3000</v>
      </c>
    </row>
    <row r="31" customFormat="false" ht="15" hidden="false" customHeight="false" outlineLevel="0" collapsed="false">
      <c r="A31" s="9" t="s">
        <v>169</v>
      </c>
      <c r="B31" s="19" t="s">
        <v>155</v>
      </c>
      <c r="C31" s="22" t="n">
        <v>0</v>
      </c>
      <c r="D31" s="22" t="n">
        <f aca="false">D24*Premissas!$B$32</f>
        <v>37.8</v>
      </c>
      <c r="E31" s="22" t="n">
        <f aca="false">E24*Premissas!$B$32</f>
        <v>70.686</v>
      </c>
      <c r="F31" s="22" t="n">
        <f aca="false">F24*Premissas!$B$32</f>
        <v>126.41622</v>
      </c>
      <c r="G31" s="22" t="n">
        <f aca="false">G24*Premissas!$B$32</f>
        <v>177.0833694</v>
      </c>
      <c r="H31" s="22" t="n">
        <f aca="false">H24*Premissas!$B$32</f>
        <v>223.355254038</v>
      </c>
      <c r="I31" s="22" t="n">
        <f aca="false">I24*Premissas!$B$32</f>
        <v>265.81028250126</v>
      </c>
      <c r="J31" s="22" t="n">
        <f aca="false">J24*Premissas!$B$32</f>
        <v>304.95008264881</v>
      </c>
      <c r="K31" s="22" t="n">
        <f aca="false">K24*Premissas!$B$32</f>
        <v>341.210290477291</v>
      </c>
      <c r="L31" s="22" t="n">
        <f aca="false">L24*Premissas!$B$32</f>
        <v>374.969780320415</v>
      </c>
      <c r="M31" s="22" t="n">
        <f aca="false">M24*Premissas!$B$32</f>
        <v>406.558565437011</v>
      </c>
      <c r="N31" s="22" t="n">
        <f aca="false">N24*Premissas!$B$32</f>
        <v>436.264564064528</v>
      </c>
      <c r="O31" s="22" t="n">
        <f aca="false">O24*Premissas!$B$32</f>
        <v>464.339397103084</v>
      </c>
      <c r="P31" s="22" t="n">
        <f aca="false">P24*Premissas!$B$32</f>
        <v>491.003358992224</v>
      </c>
      <c r="Q31" s="22" t="n">
        <f aca="false">Q24*Premissas!$B$32</f>
        <v>516.449682404214</v>
      </c>
      <c r="R31" s="22" t="n">
        <f aca="false">R24*Premissas!$B$32</f>
        <v>540.848199556582</v>
      </c>
      <c r="S31" s="22" t="n">
        <f aca="false">S24*Premissas!$B$32</f>
        <v>564.348487776757</v>
      </c>
      <c r="T31" s="22" t="n">
        <f aca="false">T24*Premissas!$B$32</f>
        <v>587.08257403735</v>
      </c>
      <c r="U31" s="22" t="n">
        <f aca="false">U24*Premissas!$B$32</f>
        <v>609.167262184936</v>
      </c>
      <c r="V31" s="22" t="n">
        <f aca="false">V24*Premissas!$B$32</f>
        <v>630.706137221986</v>
      </c>
      <c r="W31" s="22" t="n">
        <f aca="false">W24*Premissas!$B$32</f>
        <v>651.791293027188</v>
      </c>
      <c r="X31" s="22" t="n">
        <f aca="false">X24*Premissas!$B$32</f>
        <v>672.504823106882</v>
      </c>
      <c r="Y31" s="22" t="n">
        <f aca="false">Y24*Premissas!$B$32</f>
        <v>692.920108183398</v>
      </c>
      <c r="Z31" s="22" t="n">
        <f aca="false">Z24*Premissas!$B$32</f>
        <v>713.102929495141</v>
      </c>
      <c r="AA31" s="22" t="n">
        <f aca="false">AA24*Premissas!$B$32</f>
        <v>733.112432480692</v>
      </c>
      <c r="AB31" s="22" t="n">
        <f aca="false">AB24*Premissas!$B$32</f>
        <v>753.00196193681</v>
      </c>
      <c r="AC31" s="22" t="n">
        <f aca="false">AC24*Premissas!$B$32</f>
        <v>772.81978668566</v>
      </c>
      <c r="AD31" s="22" t="n">
        <f aca="false">AD24*Premissas!$B$32</f>
        <v>792.609729181589</v>
      </c>
      <c r="AE31" s="22" t="n">
        <f aca="false">AE24*Premissas!$B$32</f>
        <v>812.411713265433</v>
      </c>
      <c r="AF31" s="22" t="n">
        <f aca="false">AF24*Premissas!$B$32</f>
        <v>832.262241378066</v>
      </c>
      <c r="AG31" s="22" t="n">
        <f aca="false">AG24*Premissas!$B$32</f>
        <v>852.194810926225</v>
      </c>
      <c r="AH31" s="22" t="n">
        <f aca="false">AH24*Premissas!$B$32</f>
        <v>872.240278111599</v>
      </c>
      <c r="AI31" s="22" t="n">
        <f aca="false">AI24*Premissas!$B$32</f>
        <v>892.427176353648</v>
      </c>
      <c r="AJ31" s="22" t="n">
        <f aca="false">AJ24*Premissas!$B$32</f>
        <v>912.78199542792</v>
      </c>
      <c r="AK31" s="22" t="n">
        <f aca="false">AK24*Premissas!$B$32</f>
        <v>933.329426579404</v>
      </c>
      <c r="AL31" s="22" t="n">
        <f aca="false">AL24*Premissas!$B$32</f>
        <v>954.092578133062</v>
      </c>
      <c r="AM31" s="22" t="n">
        <f aca="false">AM24*Premissas!$B$32</f>
        <v>975.093165492817</v>
      </c>
      <c r="AN31" s="22" t="n">
        <f aca="false">AN24*Premissas!$B$32</f>
        <v>996.351678880273</v>
      </c>
      <c r="AO31" s="22" t="n">
        <f aca="false">AO24*Premissas!$B$32</f>
        <v>1017.8875317019</v>
      </c>
      <c r="AP31" s="22" t="n">
        <f aca="false">AP24*Premissas!$B$32</f>
        <v>1039.71919203718</v>
      </c>
      <c r="AQ31" s="22" t="n">
        <f aca="false">AQ24*Premissas!$B$32</f>
        <v>1061.86429940028</v>
      </c>
      <c r="AR31" s="22" t="n">
        <f aca="false">AR24*Premissas!$B$32</f>
        <v>1084.33976863651</v>
      </c>
      <c r="AS31" s="22" t="n">
        <f aca="false">AS24*Premissas!$B$32</f>
        <v>1107.16188256409</v>
      </c>
      <c r="AT31" s="22" t="n">
        <f aca="false">AT24*Premissas!$B$32</f>
        <v>1130.34637475736</v>
      </c>
      <c r="AU31" s="22" t="n">
        <f aca="false">AU24*Premissas!$B$32</f>
        <v>1153.90850368193</v>
      </c>
      <c r="AV31" s="22" t="n">
        <f aca="false">AV24*Premissas!$B$32</f>
        <v>1177.86311923382</v>
      </c>
      <c r="AW31" s="22" t="n">
        <f aca="false">AW24*Premissas!$B$32</f>
        <v>1202.22472259717</v>
      </c>
      <c r="AX31" s="22" t="n">
        <f aca="false">AX24*Premissas!$B$32</f>
        <v>1227.0075202174</v>
      </c>
      <c r="AY31" s="22" t="n">
        <f aca="false">AY24*Premissas!$B$32</f>
        <v>1252.22547258427</v>
      </c>
      <c r="AZ31" s="22" t="n">
        <f aca="false">AZ24*Premissas!$B$32</f>
        <v>1277.89233843204</v>
      </c>
      <c r="BA31" s="22" t="n">
        <f aca="false">BA24*Premissas!$B$32</f>
        <v>1304.02171488704</v>
      </c>
      <c r="BB31" s="22" t="n">
        <f aca="false">BB24*Premissas!$B$32</f>
        <v>1330.62707402791</v>
      </c>
      <c r="BC31" s="22" t="n">
        <f aca="false">BC24*Premissas!$B$32</f>
        <v>1357.72179626607</v>
      </c>
      <c r="BD31" s="22" t="n">
        <f aca="false">BD24*Premissas!$B$32</f>
        <v>1385.31920090502</v>
      </c>
      <c r="BE31" s="22" t="n">
        <f aca="false">BE24*Premissas!$B$32</f>
        <v>1413.43257419379</v>
      </c>
      <c r="BF31" s="22" t="n">
        <f aca="false">BF24*Premissas!$B$32</f>
        <v>1442.07519515271</v>
      </c>
      <c r="BG31" s="22" t="n">
        <f aca="false">BG24*Premissas!$B$32</f>
        <v>1471.26035941692</v>
      </c>
      <c r="BH31" s="22" t="n">
        <f aca="false">BH24*Premissas!$B$32</f>
        <v>1501.00140131502</v>
      </c>
      <c r="BI31" s="22" t="n">
        <f aca="false">BI24*Premissas!$B$32</f>
        <v>1531.31171437517</v>
      </c>
      <c r="BJ31" s="22" t="n">
        <f aca="false">BJ24*Premissas!$B$32</f>
        <v>1562.20477042956</v>
      </c>
      <c r="BK31" s="22" t="n">
        <f aca="false">BK24*Premissas!$B$32</f>
        <v>1593.69413746907</v>
      </c>
    </row>
    <row r="32" customFormat="false" ht="15" hidden="false" customHeight="false" outlineLevel="0" collapsed="false">
      <c r="A32" s="13" t="s">
        <v>170</v>
      </c>
      <c r="B32" s="19" t="s">
        <v>155</v>
      </c>
      <c r="C32" s="23" t="n">
        <v>0</v>
      </c>
      <c r="D32" s="23" t="n">
        <f aca="false">D27+D28+D29+D30+D31</f>
        <v>11317.8</v>
      </c>
      <c r="E32" s="23" t="n">
        <f aca="false">E27+E28+E29+E30+E31</f>
        <v>12434.286</v>
      </c>
      <c r="F32" s="23" t="n">
        <f aca="false">F27+F28+F29+F30+F31</f>
        <v>22457.58822</v>
      </c>
      <c r="G32" s="23" t="n">
        <f aca="false">G27+G28+G29+G30+G31</f>
        <v>23380.4018094</v>
      </c>
      <c r="H32" s="23" t="n">
        <f aca="false">H27+H28+H29+H30+H31</f>
        <v>24218.521172838</v>
      </c>
      <c r="I32" s="23" t="n">
        <f aca="false">I27+I28+I29+I30+I31</f>
        <v>24985.4130983773</v>
      </c>
      <c r="J32" s="23" t="n">
        <f aca="false">J27+J28+J29+J30+J31</f>
        <v>25692.5645611213</v>
      </c>
      <c r="K32" s="23" t="n">
        <f aca="false">K27+K28+K29+K30+K31</f>
        <v>26349.7785030897</v>
      </c>
      <c r="L32" s="23" t="n">
        <f aca="false">L27+L28+L29+L30+L31</f>
        <v>26965.4253819645</v>
      </c>
      <c r="M32" s="23" t="n">
        <f aca="false">M27+M28+M29+M30+M31</f>
        <v>27546.6571133196</v>
      </c>
      <c r="N32" s="23" t="n">
        <f aca="false">N27+N28+N29+N30+N31</f>
        <v>28099.5890380712</v>
      </c>
      <c r="O32" s="23" t="n">
        <f aca="false">O27+O28+O29+O30+O31</f>
        <v>28629.4547028856</v>
      </c>
      <c r="P32" s="23" t="n">
        <f aca="false">P27+P28+P29+P30+P31</f>
        <v>29140.7375238136</v>
      </c>
      <c r="Q32" s="23" t="n">
        <f aca="false">Q27+Q28+Q29+Q30+Q31</f>
        <v>29637.282793521</v>
      </c>
      <c r="R32" s="23" t="n">
        <f aca="false">R27+R28+R29+R30+R31</f>
        <v>30122.3929740179</v>
      </c>
      <c r="S32" s="23" t="n">
        <f aca="false">S27+S28+S29+S30+S31</f>
        <v>30598.9087760483</v>
      </c>
      <c r="T32" s="23" t="n">
        <f aca="false">T27+T28+T29+T30+T31</f>
        <v>31069.278151625</v>
      </c>
      <c r="U32" s="23" t="n">
        <f aca="false">U27+U28+U29+U30+U31</f>
        <v>31535.6150076821</v>
      </c>
      <c r="V32" s="23" t="n">
        <f aca="false">V27+V28+V29+V30+V31</f>
        <v>31999.7491780455</v>
      </c>
      <c r="W32" s="23" t="n">
        <f aca="false">W27+W28+W29+W30+W31</f>
        <v>32463.2689607327</v>
      </c>
      <c r="X32" s="23" t="n">
        <f aca="false">X27+X28+X29+X30+X31</f>
        <v>32927.5573318966</v>
      </c>
      <c r="Y32" s="23" t="n">
        <f aca="false">Y27+Y28+Y29+Y30+Y31</f>
        <v>33393.8227813681</v>
      </c>
      <c r="Z32" s="23" t="n">
        <f aca="false">Z27+Z28+Z29+Z30+Z31</f>
        <v>33863.1255733065</v>
      </c>
      <c r="AA32" s="23" t="n">
        <f aca="false">AA27+AA28+AA29+AA30+AA31</f>
        <v>34336.4001152274</v>
      </c>
      <c r="AB32" s="23" t="n">
        <f aca="false">AB27+AB28+AB29+AB30+AB31</f>
        <v>34814.4740164416</v>
      </c>
      <c r="AC32" s="23" t="n">
        <f aca="false">AC27+AC28+AC29+AC30+AC31</f>
        <v>35298.0843300248</v>
      </c>
      <c r="AD32" s="23" t="n">
        <f aca="false">AD27+AD28+AD29+AD30+AD31</f>
        <v>35787.8913985383</v>
      </c>
      <c r="AE32" s="23" t="n">
        <f aca="false">AE27+AE28+AE29+AE30+AE31</f>
        <v>36284.4906608902</v>
      </c>
      <c r="AF32" s="23" t="n">
        <f aca="false">AF27+AF28+AF29+AF30+AF31</f>
        <v>36788.4227243065</v>
      </c>
      <c r="AG32" s="23" t="n">
        <f aca="false">AG27+AG28+AG29+AG30+AG31</f>
        <v>37300.181959958</v>
      </c>
      <c r="AH32" s="23" t="n">
        <f aca="false">AH27+AH28+AH29+AH30+AH31</f>
        <v>37820.2238421647</v>
      </c>
      <c r="AI32" s="23" t="n">
        <f aca="false">AI27+AI28+AI29+AI30+AI31</f>
        <v>38348.9712182599</v>
      </c>
      <c r="AJ32" s="23" t="n">
        <f aca="false">AJ27+AJ28+AJ29+AJ30+AJ31</f>
        <v>38886.8196682691</v>
      </c>
      <c r="AK32" s="23" t="n">
        <f aca="false">AK27+AK28+AK29+AK30+AK31</f>
        <v>39434.1420898095</v>
      </c>
      <c r="AL32" s="23" t="n">
        <f aca="false">AL27+AL28+AL29+AL30+AL31</f>
        <v>39991.2926234217</v>
      </c>
      <c r="AM32" s="23" t="n">
        <f aca="false">AM27+AM28+AM29+AM30+AM31</f>
        <v>40558.6100163717</v>
      </c>
      <c r="AN32" s="23" t="n">
        <f aca="false">AN27+AN28+AN29+AN30+AN31</f>
        <v>41136.4205083513</v>
      </c>
      <c r="AO32" s="23" t="n">
        <f aca="false">AO27+AO28+AO29+AO30+AO31</f>
        <v>41725.0403100862</v>
      </c>
      <c r="AP32" s="23" t="n">
        <f aca="false">AP27+AP28+AP29+AP30+AP31</f>
        <v>42324.777735291</v>
      </c>
      <c r="AQ32" s="23" t="n">
        <f aca="false">AQ27+AQ28+AQ29+AQ30+AQ31</f>
        <v>42935.9350374262</v>
      </c>
      <c r="AR32" s="23" t="n">
        <f aca="false">AR27+AR28+AR29+AR30+AR31</f>
        <v>43558.8099950643</v>
      </c>
      <c r="AS32" s="23" t="n">
        <f aca="false">AS27+AS28+AS29+AS30+AS31</f>
        <v>44193.6972831704</v>
      </c>
      <c r="AT32" s="23" t="n">
        <f aca="false">AT27+AT28+AT29+AT30+AT31</f>
        <v>44840.8896620686</v>
      </c>
      <c r="AU32" s="23" t="n">
        <f aca="false">AU27+AU28+AU29+AU30+AU31</f>
        <v>45500.6790111595</v>
      </c>
      <c r="AV32" s="23" t="n">
        <f aca="false">AV27+AV28+AV29+AV30+AV31</f>
        <v>46173.3572304467</v>
      </c>
      <c r="AW32" s="23" t="n">
        <f aca="false">AW27+AW28+AW29+AW30+AW31</f>
        <v>46859.2170295245</v>
      </c>
      <c r="AX32" s="23" t="n">
        <f aca="false">AX27+AX28+AX29+AX30+AX31</f>
        <v>47558.552620777</v>
      </c>
      <c r="AY32" s="23" t="n">
        <f aca="false">AY27+AY28+AY29+AY30+AY31</f>
        <v>48271.6603310695</v>
      </c>
      <c r="AZ32" s="23" t="n">
        <f aca="false">AZ27+AZ28+AZ29+AZ30+AZ31</f>
        <v>48998.8391441156</v>
      </c>
      <c r="BA32" s="23" t="n">
        <f aca="false">BA27+BA28+BA29+BA30+BA31</f>
        <v>49740.3911839096</v>
      </c>
      <c r="BB32" s="23" t="n">
        <f aca="false">BB27+BB28+BB29+BB30+BB31</f>
        <v>50496.6221480976</v>
      </c>
      <c r="BC32" s="23" t="n">
        <f aca="false">BC27+BC28+BC29+BC30+BC31</f>
        <v>51267.8416988568</v>
      </c>
      <c r="BD32" s="23" t="n">
        <f aca="false">BD27+BD28+BD29+BD30+BD31</f>
        <v>52054.3638177566</v>
      </c>
      <c r="BE32" s="23" t="n">
        <f aca="false">BE27+BE28+BE29+BE30+BE31</f>
        <v>52856.5071301271</v>
      </c>
      <c r="BF32" s="23" t="n">
        <f aca="false">BF27+BF28+BF29+BF30+BF31</f>
        <v>53674.5952036676</v>
      </c>
      <c r="BG32" s="23" t="n">
        <f aca="false">BG27+BG28+BG29+BG30+BG31</f>
        <v>54508.956825337</v>
      </c>
      <c r="BH32" s="23" t="n">
        <f aca="false">BH27+BH28+BH29+BH30+BH31</f>
        <v>55359.9262599953</v>
      </c>
      <c r="BI32" s="23" t="n">
        <f aca="false">BI27+BI28+BI29+BI30+BI31</f>
        <v>56227.8434937633</v>
      </c>
      <c r="BJ32" s="23" t="n">
        <f aca="false">BJ27+BJ28+BJ29+BJ30+BJ31</f>
        <v>57113.0544646496</v>
      </c>
      <c r="BK32" s="23" t="n">
        <f aca="false">BK27+BK28+BK29+BK30+BK31</f>
        <v>58015.9112826318</v>
      </c>
    </row>
    <row r="34" customFormat="false" ht="15" hidden="false" customHeight="false" outlineLevel="0" collapsed="false">
      <c r="A34" s="12" t="s">
        <v>171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</row>
    <row r="35" customFormat="false" ht="15" hidden="false" customHeight="false" outlineLevel="0" collapsed="false">
      <c r="A35" s="13" t="s">
        <v>172</v>
      </c>
      <c r="B35" s="19" t="s">
        <v>155</v>
      </c>
      <c r="C35" s="23" t="n">
        <v>0</v>
      </c>
      <c r="D35" s="23" t="n">
        <f aca="false">D24-D32</f>
        <v>-10777.8</v>
      </c>
      <c r="E35" s="23" t="n">
        <f aca="false">E24-E32</f>
        <v>-11424.486</v>
      </c>
      <c r="F35" s="23" t="n">
        <f aca="false">F24-F32</f>
        <v>-20651.64222</v>
      </c>
      <c r="G35" s="23" t="n">
        <f aca="false">G24-G32</f>
        <v>-20850.6393894</v>
      </c>
      <c r="H35" s="23" t="n">
        <f aca="false">H24-H32</f>
        <v>-21027.731829438</v>
      </c>
      <c r="I35" s="23" t="n">
        <f aca="false">I24-I32</f>
        <v>-21188.1233483593</v>
      </c>
      <c r="J35" s="23" t="n">
        <f aca="false">J24-J32</f>
        <v>-21336.1348089955</v>
      </c>
      <c r="K35" s="23" t="n">
        <f aca="false">K24-K32</f>
        <v>-21475.3457819855</v>
      </c>
      <c r="L35" s="23" t="n">
        <f aca="false">L24-L32</f>
        <v>-21608.7142345301</v>
      </c>
      <c r="M35" s="23" t="n">
        <f aca="false">M24-M32</f>
        <v>-21738.6776070766</v>
      </c>
      <c r="N35" s="23" t="n">
        <f aca="false">N24-N32</f>
        <v>-21867.2381228636</v>
      </c>
      <c r="O35" s="23" t="n">
        <f aca="false">O24-O32</f>
        <v>-21996.0347442701</v>
      </c>
      <c r="P35" s="23" t="n">
        <f aca="false">P24-P32</f>
        <v>-22126.4038239247</v>
      </c>
      <c r="Q35" s="23" t="n">
        <f aca="false">Q24-Q32</f>
        <v>-22259.4301877465</v>
      </c>
      <c r="R35" s="23" t="n">
        <f aca="false">R24-R32</f>
        <v>-22395.9901232095</v>
      </c>
      <c r="S35" s="23" t="n">
        <f aca="false">S24-S32</f>
        <v>-22536.7875220946</v>
      </c>
      <c r="T35" s="23" t="n">
        <f aca="false">T24-T32</f>
        <v>-22682.3842368058</v>
      </c>
      <c r="U35" s="23" t="n">
        <f aca="false">U24-U32</f>
        <v>-22833.2255478973</v>
      </c>
      <c r="V35" s="23" t="n">
        <f aca="false">V24-V32</f>
        <v>-22989.6615034457</v>
      </c>
      <c r="W35" s="23" t="n">
        <f aca="false">W24-W32</f>
        <v>-23151.96477463</v>
      </c>
      <c r="X35" s="23" t="n">
        <f aca="false">X24-X32</f>
        <v>-23320.3455732269</v>
      </c>
      <c r="Y35" s="23" t="n">
        <f aca="false">Y24-Y32</f>
        <v>-23494.9640930339</v>
      </c>
      <c r="Z35" s="23" t="n">
        <f aca="false">Z24-Z32</f>
        <v>-23675.9408662331</v>
      </c>
      <c r="AA35" s="23" t="n">
        <f aca="false">AA24-AA32</f>
        <v>-23863.3653655032</v>
      </c>
      <c r="AB35" s="23" t="n">
        <f aca="false">AB24-AB32</f>
        <v>-24057.30313163</v>
      </c>
      <c r="AC35" s="23" t="n">
        <f aca="false">AC24-AC32</f>
        <v>-24257.8016630868</v>
      </c>
      <c r="AD35" s="23" t="n">
        <f aca="false">AD24-AD32</f>
        <v>-24464.8952673728</v>
      </c>
      <c r="AE35" s="23" t="n">
        <f aca="false">AE24-AE32</f>
        <v>-24678.6090428125</v>
      </c>
      <c r="AF35" s="23" t="n">
        <f aca="false">AF24-AF32</f>
        <v>-24898.9621331913</v>
      </c>
      <c r="AG35" s="23" t="n">
        <f aca="false">AG24-AG32</f>
        <v>-25125.9703752976</v>
      </c>
      <c r="AH35" s="23" t="n">
        <f aca="false">AH24-AH32</f>
        <v>-25359.6484405704</v>
      </c>
      <c r="AI35" s="23" t="n">
        <f aca="false">AI24-AI32</f>
        <v>-25600.0115560649</v>
      </c>
      <c r="AJ35" s="23" t="n">
        <f aca="false">AJ24-AJ32</f>
        <v>-25847.0768764417</v>
      </c>
      <c r="AK35" s="23" t="n">
        <f aca="false">AK24-AK32</f>
        <v>-26100.8645672465</v>
      </c>
      <c r="AL35" s="23" t="n">
        <f aca="false">AL24-AL32</f>
        <v>-26361.3986500922</v>
      </c>
      <c r="AM35" s="23" t="n">
        <f aca="false">AM24-AM32</f>
        <v>-26628.7076521886</v>
      </c>
      <c r="AN35" s="23" t="n">
        <f aca="false">AN24-AN32</f>
        <v>-26902.825095776</v>
      </c>
      <c r="AO35" s="23" t="n">
        <f aca="false">AO24-AO32</f>
        <v>-27183.7898572019</v>
      </c>
      <c r="AP35" s="23" t="n">
        <f aca="false">AP24-AP32</f>
        <v>-27471.6464204742</v>
      </c>
      <c r="AQ35" s="23" t="n">
        <f aca="false">AQ24-AQ32</f>
        <v>-27766.4450459936</v>
      </c>
      <c r="AR35" s="23" t="n">
        <f aca="false">AR24-AR32</f>
        <v>-28068.2418716857</v>
      </c>
      <c r="AS35" s="23" t="n">
        <f aca="false">AS24-AS32</f>
        <v>-28377.0989608262</v>
      </c>
      <c r="AT35" s="23" t="n">
        <f aca="false">AT24-AT32</f>
        <v>-28693.084308392</v>
      </c>
      <c r="AU35" s="23" t="n">
        <f aca="false">AU24-AU32</f>
        <v>-29016.2718157033</v>
      </c>
      <c r="AV35" s="23" t="n">
        <f aca="false">AV24-AV32</f>
        <v>-29346.7412413922</v>
      </c>
      <c r="AW35" s="23" t="n">
        <f aca="false">AW24-AW32</f>
        <v>-29684.5781352792</v>
      </c>
      <c r="AX35" s="23" t="n">
        <f aca="false">AX24-AX32</f>
        <v>-30029.8737605285</v>
      </c>
      <c r="AY35" s="23" t="n">
        <f aca="false">AY24-AY32</f>
        <v>-30382.7250084371</v>
      </c>
      <c r="AZ35" s="23" t="n">
        <f aca="false">AZ24-AZ32</f>
        <v>-30743.2343093722</v>
      </c>
      <c r="BA35" s="23" t="n">
        <f aca="false">BA24-BA32</f>
        <v>-31111.5095426662</v>
      </c>
      <c r="BB35" s="23" t="n">
        <f aca="false">BB24-BB32</f>
        <v>-31487.6639476989</v>
      </c>
      <c r="BC35" s="23" t="n">
        <f aca="false">BC24-BC32</f>
        <v>-31871.816037913</v>
      </c>
      <c r="BD35" s="23" t="n">
        <f aca="false">BD24-BD32</f>
        <v>-32264.0895191135</v>
      </c>
      <c r="BE35" s="23" t="n">
        <f aca="false">BE24-BE32</f>
        <v>-32664.6132130729</v>
      </c>
      <c r="BF35" s="23" t="n">
        <f aca="false">BF24-BF32</f>
        <v>-33073.5209872003</v>
      </c>
      <c r="BG35" s="23" t="n">
        <f aca="false">BG24-BG32</f>
        <v>-33490.9516908096</v>
      </c>
      <c r="BH35" s="23" t="n">
        <f aca="false">BH24-BH32</f>
        <v>-33917.0490983521</v>
      </c>
      <c r="BI35" s="23" t="n">
        <f aca="false">BI24-BI32</f>
        <v>-34351.9618598322</v>
      </c>
      <c r="BJ35" s="23" t="n">
        <f aca="false">BJ24-BJ32</f>
        <v>-34795.8434585129</v>
      </c>
      <c r="BK35" s="23" t="n">
        <f aca="false">BK24-BK32</f>
        <v>-35248.8521759308</v>
      </c>
    </row>
    <row r="36" customFormat="false" ht="15" hidden="false" customHeight="false" outlineLevel="0" collapsed="false">
      <c r="A36" s="13" t="s">
        <v>173</v>
      </c>
      <c r="B36" s="19" t="s">
        <v>155</v>
      </c>
      <c r="C36" s="23" t="n">
        <f aca="false">Premissas!$B$33</f>
        <v>-21000</v>
      </c>
      <c r="D36" s="23" t="n">
        <f aca="false">C36+D35</f>
        <v>-31777.8</v>
      </c>
      <c r="E36" s="23" t="n">
        <f aca="false">D36+E35</f>
        <v>-43202.286</v>
      </c>
      <c r="F36" s="23" t="n">
        <f aca="false">E36+F35</f>
        <v>-63853.92822</v>
      </c>
      <c r="G36" s="23" t="n">
        <f aca="false">F36+G35</f>
        <v>-84704.5676094</v>
      </c>
      <c r="H36" s="23" t="n">
        <f aca="false">G36+H35</f>
        <v>-105732.299438838</v>
      </c>
      <c r="I36" s="23" t="n">
        <f aca="false">H36+I35</f>
        <v>-126920.422787197</v>
      </c>
      <c r="J36" s="23" t="n">
        <f aca="false">I36+J35</f>
        <v>-148256.557596193</v>
      </c>
      <c r="K36" s="23" t="n">
        <f aca="false">J36+K35</f>
        <v>-169731.903378178</v>
      </c>
      <c r="L36" s="23" t="n">
        <f aca="false">K36+L35</f>
        <v>-191340.617612708</v>
      </c>
      <c r="M36" s="23" t="n">
        <f aca="false">L36+M35</f>
        <v>-213079.295219785</v>
      </c>
      <c r="N36" s="23" t="n">
        <f aca="false">M36+N35</f>
        <v>-234946.533342649</v>
      </c>
      <c r="O36" s="23" t="n">
        <f aca="false">N36+O35</f>
        <v>-256942.568086919</v>
      </c>
      <c r="P36" s="23" t="n">
        <f aca="false">O36+P35</f>
        <v>-279068.971910843</v>
      </c>
      <c r="Q36" s="23" t="n">
        <f aca="false">P36+Q35</f>
        <v>-301328.40209859</v>
      </c>
      <c r="R36" s="23" t="n">
        <f aca="false">Q36+R35</f>
        <v>-323724.392221799</v>
      </c>
      <c r="S36" s="23" t="n">
        <f aca="false">R36+S35</f>
        <v>-346261.179743894</v>
      </c>
      <c r="T36" s="23" t="n">
        <f aca="false">S36+T35</f>
        <v>-368943.5639807</v>
      </c>
      <c r="U36" s="23" t="n">
        <f aca="false">T36+U35</f>
        <v>-391776.789528597</v>
      </c>
      <c r="V36" s="23" t="n">
        <f aca="false">U36+V35</f>
        <v>-414766.451032043</v>
      </c>
      <c r="W36" s="23" t="n">
        <f aca="false">V36+W35</f>
        <v>-437918.415806673</v>
      </c>
      <c r="X36" s="23" t="n">
        <f aca="false">W36+X35</f>
        <v>-461238.7613799</v>
      </c>
      <c r="Y36" s="23" t="n">
        <f aca="false">X36+Y35</f>
        <v>-484733.725472934</v>
      </c>
      <c r="Z36" s="23" t="n">
        <f aca="false">Y36+Z35</f>
        <v>-508409.666339167</v>
      </c>
      <c r="AA36" s="23" t="n">
        <f aca="false">Z36+AA35</f>
        <v>-532273.03170467</v>
      </c>
      <c r="AB36" s="23" t="n">
        <f aca="false">AA36+AB35</f>
        <v>-556330.3348363</v>
      </c>
      <c r="AC36" s="23" t="n">
        <f aca="false">AB36+AC35</f>
        <v>-580588.136499387</v>
      </c>
      <c r="AD36" s="23" t="n">
        <f aca="false">AC36+AD35</f>
        <v>-605053.03176676</v>
      </c>
      <c r="AE36" s="23" t="n">
        <f aca="false">AD36+AE35</f>
        <v>-629731.640809572</v>
      </c>
      <c r="AF36" s="23" t="n">
        <f aca="false">AE36+AF35</f>
        <v>-654630.602942763</v>
      </c>
      <c r="AG36" s="23" t="n">
        <f aca="false">AF36+AG35</f>
        <v>-679756.573318061</v>
      </c>
      <c r="AH36" s="23" t="n">
        <f aca="false">AG36+AH35</f>
        <v>-705116.221758631</v>
      </c>
      <c r="AI36" s="23" t="n">
        <f aca="false">AH36+AI35</f>
        <v>-730716.233314696</v>
      </c>
      <c r="AJ36" s="23" t="n">
        <f aca="false">AI36+AJ35</f>
        <v>-756563.310191138</v>
      </c>
      <c r="AK36" s="23" t="n">
        <f aca="false">AJ36+AK35</f>
        <v>-782664.174758384</v>
      </c>
      <c r="AL36" s="23" t="n">
        <f aca="false">AK36+AL35</f>
        <v>-809025.573408477</v>
      </c>
      <c r="AM36" s="23" t="n">
        <f aca="false">AL36+AM35</f>
        <v>-835654.281060665</v>
      </c>
      <c r="AN36" s="23" t="n">
        <f aca="false">AM36+AN35</f>
        <v>-862557.106156441</v>
      </c>
      <c r="AO36" s="23" t="n">
        <f aca="false">AN36+AO35</f>
        <v>-889740.896013643</v>
      </c>
      <c r="AP36" s="23" t="n">
        <f aca="false">AO36+AP35</f>
        <v>-917212.542434117</v>
      </c>
      <c r="AQ36" s="23" t="n">
        <f aca="false">AP36+AQ35</f>
        <v>-944978.987480111</v>
      </c>
      <c r="AR36" s="23" t="n">
        <f aca="false">AQ36+AR35</f>
        <v>-973047.229351797</v>
      </c>
      <c r="AS36" s="23" t="n">
        <f aca="false">AR36+AS35</f>
        <v>-1001424.32831262</v>
      </c>
      <c r="AT36" s="23" t="n">
        <f aca="false">AS36+AT35</f>
        <v>-1030117.41262101</v>
      </c>
      <c r="AU36" s="23" t="n">
        <f aca="false">AT36+AU35</f>
        <v>-1059133.68443672</v>
      </c>
      <c r="AV36" s="23" t="n">
        <f aca="false">AU36+AV35</f>
        <v>-1088480.42567811</v>
      </c>
      <c r="AW36" s="23" t="n">
        <f aca="false">AV36+AW35</f>
        <v>-1118165.00381339</v>
      </c>
      <c r="AX36" s="23" t="n">
        <f aca="false">AW36+AX35</f>
        <v>-1148194.87757392</v>
      </c>
      <c r="AY36" s="23" t="n">
        <f aca="false">AX36+AY35</f>
        <v>-1178577.60258236</v>
      </c>
      <c r="AZ36" s="23" t="n">
        <f aca="false">AY36+AZ35</f>
        <v>-1209320.83689173</v>
      </c>
      <c r="BA36" s="23" t="n">
        <f aca="false">AZ36+BA35</f>
        <v>-1240432.34643439</v>
      </c>
      <c r="BB36" s="23" t="n">
        <f aca="false">BA36+BB35</f>
        <v>-1271920.01038209</v>
      </c>
      <c r="BC36" s="23" t="n">
        <f aca="false">BB36+BC35</f>
        <v>-1303791.82642001</v>
      </c>
      <c r="BD36" s="23" t="n">
        <f aca="false">BC36+BD35</f>
        <v>-1336055.91593912</v>
      </c>
      <c r="BE36" s="23" t="n">
        <f aca="false">BD36+BE35</f>
        <v>-1368720.52915219</v>
      </c>
      <c r="BF36" s="23" t="n">
        <f aca="false">BE36+BF35</f>
        <v>-1401794.05013939</v>
      </c>
      <c r="BG36" s="23" t="n">
        <f aca="false">BF36+BG35</f>
        <v>-1435285.0018302</v>
      </c>
      <c r="BH36" s="23" t="n">
        <f aca="false">BG36+BH35</f>
        <v>-1469202.05092855</v>
      </c>
      <c r="BI36" s="23" t="n">
        <f aca="false">BH36+BI35</f>
        <v>-1503554.01278839</v>
      </c>
      <c r="BJ36" s="23" t="n">
        <f aca="false">BI36+BJ35</f>
        <v>-1538349.8562469</v>
      </c>
      <c r="BK36" s="23" t="n">
        <f aca="false">BJ36+BK35</f>
        <v>-1573598.70842283</v>
      </c>
    </row>
  </sheetData>
  <mergeCells count="5">
    <mergeCell ref="D3:O3"/>
    <mergeCell ref="P3:AA3"/>
    <mergeCell ref="AB3:AM3"/>
    <mergeCell ref="AN3:AY3"/>
    <mergeCell ref="AZ3:B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174</v>
      </c>
    </row>
    <row r="2" customFormat="false" ht="15" hidden="false" customHeight="false" outlineLevel="0" collapsed="false">
      <c r="A2" s="19" t="s">
        <v>72</v>
      </c>
    </row>
    <row r="3" customFormat="false" ht="26.85" hidden="false" customHeight="true" outlineLevel="0" collapsed="false">
      <c r="A3" s="25" t="s">
        <v>73</v>
      </c>
      <c r="B3" s="25" t="s">
        <v>74</v>
      </c>
      <c r="C3" s="25" t="s">
        <v>75</v>
      </c>
      <c r="D3" s="25" t="s">
        <v>76</v>
      </c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 t="s">
        <v>77</v>
      </c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 t="s">
        <v>78</v>
      </c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 t="s">
        <v>79</v>
      </c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 t="s">
        <v>80</v>
      </c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</row>
    <row r="4" customFormat="false" ht="15" hidden="false" customHeight="false" outlineLevel="0" collapsed="false">
      <c r="A4" s="7" t="s">
        <v>81</v>
      </c>
      <c r="B4" s="21"/>
      <c r="C4" s="21" t="s">
        <v>82</v>
      </c>
      <c r="D4" s="21" t="s">
        <v>83</v>
      </c>
      <c r="E4" s="21" t="s">
        <v>84</v>
      </c>
      <c r="F4" s="21" t="s">
        <v>85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  <c r="P4" s="21" t="s">
        <v>95</v>
      </c>
      <c r="Q4" s="21" t="s">
        <v>96</v>
      </c>
      <c r="R4" s="21" t="s">
        <v>97</v>
      </c>
      <c r="S4" s="21" t="s">
        <v>98</v>
      </c>
      <c r="T4" s="21" t="s">
        <v>99</v>
      </c>
      <c r="U4" s="21" t="s">
        <v>100</v>
      </c>
      <c r="V4" s="21" t="s">
        <v>101</v>
      </c>
      <c r="W4" s="21" t="s">
        <v>102</v>
      </c>
      <c r="X4" s="21" t="s">
        <v>103</v>
      </c>
      <c r="Y4" s="21" t="s">
        <v>104</v>
      </c>
      <c r="Z4" s="21" t="s">
        <v>105</v>
      </c>
      <c r="AA4" s="21" t="s">
        <v>106</v>
      </c>
      <c r="AB4" s="21" t="s">
        <v>107</v>
      </c>
      <c r="AC4" s="21" t="s">
        <v>108</v>
      </c>
      <c r="AD4" s="21" t="s">
        <v>109</v>
      </c>
      <c r="AE4" s="21" t="s">
        <v>110</v>
      </c>
      <c r="AF4" s="21" t="s">
        <v>111</v>
      </c>
      <c r="AG4" s="21" t="s">
        <v>112</v>
      </c>
      <c r="AH4" s="21" t="s">
        <v>113</v>
      </c>
      <c r="AI4" s="21" t="s">
        <v>114</v>
      </c>
      <c r="AJ4" s="21" t="s">
        <v>115</v>
      </c>
      <c r="AK4" s="21" t="s">
        <v>116</v>
      </c>
      <c r="AL4" s="21" t="s">
        <v>117</v>
      </c>
      <c r="AM4" s="21" t="s">
        <v>118</v>
      </c>
      <c r="AN4" s="21" t="s">
        <v>119</v>
      </c>
      <c r="AO4" s="21" t="s">
        <v>120</v>
      </c>
      <c r="AP4" s="21" t="s">
        <v>121</v>
      </c>
      <c r="AQ4" s="21" t="s">
        <v>122</v>
      </c>
      <c r="AR4" s="21" t="s">
        <v>123</v>
      </c>
      <c r="AS4" s="21" t="s">
        <v>124</v>
      </c>
      <c r="AT4" s="21" t="s">
        <v>125</v>
      </c>
      <c r="AU4" s="21" t="s">
        <v>126</v>
      </c>
      <c r="AV4" s="21" t="s">
        <v>127</v>
      </c>
      <c r="AW4" s="21" t="s">
        <v>128</v>
      </c>
      <c r="AX4" s="21" t="s">
        <v>129</v>
      </c>
      <c r="AY4" s="21" t="s">
        <v>130</v>
      </c>
      <c r="AZ4" s="21" t="s">
        <v>131</v>
      </c>
      <c r="BA4" s="21" t="s">
        <v>132</v>
      </c>
      <c r="BB4" s="21" t="s">
        <v>133</v>
      </c>
      <c r="BC4" s="21" t="s">
        <v>134</v>
      </c>
      <c r="BD4" s="21" t="s">
        <v>135</v>
      </c>
      <c r="BE4" s="21" t="s">
        <v>136</v>
      </c>
      <c r="BF4" s="21" t="s">
        <v>137</v>
      </c>
      <c r="BG4" s="21" t="s">
        <v>138</v>
      </c>
      <c r="BH4" s="21" t="s">
        <v>139</v>
      </c>
      <c r="BI4" s="21" t="s">
        <v>140</v>
      </c>
      <c r="BJ4" s="21" t="s">
        <v>141</v>
      </c>
      <c r="BK4" s="21" t="s">
        <v>142</v>
      </c>
    </row>
    <row r="6" customFormat="false" ht="15" hidden="false" customHeight="false" outlineLevel="0" collapsed="false">
      <c r="A6" s="9" t="s">
        <v>143</v>
      </c>
      <c r="B6" s="19" t="s">
        <v>144</v>
      </c>
      <c r="C6" s="22" t="n">
        <v>0</v>
      </c>
      <c r="D6" s="22" t="n">
        <f aca="false">MIN(Premissas!$C$9,Premissas!$C$11)</f>
        <v>80</v>
      </c>
      <c r="E6" s="22" t="n">
        <f aca="false">MIN(D6*(1+Premissas!$C$10),Premissas!$C$11)</f>
        <v>83.6</v>
      </c>
      <c r="F6" s="22" t="n">
        <f aca="false">MIN(E6*(1+Premissas!$C$10),Premissas!$C$11)</f>
        <v>87.362</v>
      </c>
      <c r="G6" s="22" t="n">
        <f aca="false">MIN(F6*(1+Premissas!$C$10),Premissas!$C$11)</f>
        <v>91.29329</v>
      </c>
      <c r="H6" s="22" t="n">
        <f aca="false">MIN(G6*(1+Premissas!$C$10),Premissas!$C$11)</f>
        <v>95.40148805</v>
      </c>
      <c r="I6" s="22" t="n">
        <f aca="false">MIN(H6*(1+Premissas!$C$10),Premissas!$C$11)</f>
        <v>99.69455501225</v>
      </c>
      <c r="J6" s="22" t="n">
        <f aca="false">MIN(I6*(1+Premissas!$C$10),Premissas!$C$11)</f>
        <v>104.180809987801</v>
      </c>
      <c r="K6" s="22" t="n">
        <f aca="false">MIN(J6*(1+Premissas!$C$10),Premissas!$C$11)</f>
        <v>108.868946437252</v>
      </c>
      <c r="L6" s="22" t="n">
        <f aca="false">MIN(K6*(1+Premissas!$C$10),Premissas!$C$11)</f>
        <v>113.768049026929</v>
      </c>
      <c r="M6" s="22" t="n">
        <f aca="false">MIN(L6*(1+Premissas!$C$10),Premissas!$C$11)</f>
        <v>118.88761123314</v>
      </c>
      <c r="N6" s="22" t="n">
        <f aca="false">MIN(M6*(1+Premissas!$C$10),Premissas!$C$11)</f>
        <v>124.237553738632</v>
      </c>
      <c r="O6" s="22" t="n">
        <f aca="false">MIN(N6*(1+Premissas!$C$10),Premissas!$C$11)</f>
        <v>129.82824365687</v>
      </c>
      <c r="P6" s="22" t="n">
        <f aca="false">MIN(O6*(1+Premissas!$C$10),Premissas!$C$11)</f>
        <v>135.670514621429</v>
      </c>
      <c r="Q6" s="22" t="n">
        <f aca="false">MIN(P6*(1+Premissas!$C$10),Premissas!$C$11)</f>
        <v>141.775687779394</v>
      </c>
      <c r="R6" s="22" t="n">
        <f aca="false">MIN(Q6*(1+Premissas!$C$10),Premissas!$C$11)</f>
        <v>148.155593729466</v>
      </c>
      <c r="S6" s="22" t="n">
        <f aca="false">MIN(R6*(1+Premissas!$C$10),Premissas!$C$11)</f>
        <v>154.822595447292</v>
      </c>
      <c r="T6" s="22" t="n">
        <f aca="false">MIN(S6*(1+Premissas!$C$10),Premissas!$C$11)</f>
        <v>161.78961224242</v>
      </c>
      <c r="U6" s="22" t="n">
        <f aca="false">MIN(T6*(1+Premissas!$C$10),Premissas!$C$11)</f>
        <v>169.070144793329</v>
      </c>
      <c r="V6" s="22" t="n">
        <f aca="false">MIN(U6*(1+Premissas!$C$10),Premissas!$C$11)</f>
        <v>176.678301309029</v>
      </c>
      <c r="W6" s="22" t="n">
        <f aca="false">MIN(V6*(1+Premissas!$C$10),Premissas!$C$11)</f>
        <v>184.628824867935</v>
      </c>
      <c r="X6" s="22" t="n">
        <f aca="false">MIN(W6*(1+Premissas!$C$10),Premissas!$C$11)</f>
        <v>192.937121986992</v>
      </c>
      <c r="Y6" s="22" t="n">
        <f aca="false">MIN(X6*(1+Premissas!$C$10),Premissas!$C$11)</f>
        <v>201.619292476407</v>
      </c>
      <c r="Z6" s="22" t="n">
        <f aca="false">MIN(Y6*(1+Premissas!$C$10),Premissas!$C$11)</f>
        <v>210.692160637845</v>
      </c>
      <c r="AA6" s="22" t="n">
        <f aca="false">MIN(Z6*(1+Premissas!$C$10),Premissas!$C$11)</f>
        <v>220.173307866548</v>
      </c>
      <c r="AB6" s="22" t="n">
        <f aca="false">MIN(AA6*(1+Premissas!$C$10),Premissas!$C$11)</f>
        <v>230.081106720543</v>
      </c>
      <c r="AC6" s="22" t="n">
        <f aca="false">MIN(AB6*(1+Premissas!$C$10),Premissas!$C$11)</f>
        <v>240.434756522968</v>
      </c>
      <c r="AD6" s="22" t="n">
        <f aca="false">MIN(AC6*(1+Premissas!$C$10),Premissas!$C$11)</f>
        <v>251.254320566501</v>
      </c>
      <c r="AE6" s="22" t="n">
        <f aca="false">MIN(AD6*(1+Premissas!$C$10),Premissas!$C$11)</f>
        <v>262.560764991994</v>
      </c>
      <c r="AF6" s="22" t="n">
        <f aca="false">MIN(AE6*(1+Premissas!$C$10),Premissas!$C$11)</f>
        <v>274.375999416633</v>
      </c>
      <c r="AG6" s="22" t="n">
        <f aca="false">MIN(AF6*(1+Premissas!$C$10),Premissas!$C$11)</f>
        <v>286.722919390382</v>
      </c>
      <c r="AH6" s="22" t="n">
        <f aca="false">MIN(AG6*(1+Premissas!$C$10),Premissas!$C$11)</f>
        <v>299.625450762949</v>
      </c>
      <c r="AI6" s="22" t="n">
        <f aca="false">MIN(AH6*(1+Premissas!$C$10),Premissas!$C$11)</f>
        <v>313.108596047282</v>
      </c>
      <c r="AJ6" s="22" t="n">
        <f aca="false">MIN(AI6*(1+Premissas!$C$10),Premissas!$C$11)</f>
        <v>327.198482869409</v>
      </c>
      <c r="AK6" s="22" t="n">
        <f aca="false">MIN(AJ6*(1+Premissas!$C$10),Premissas!$C$11)</f>
        <v>341.922414598533</v>
      </c>
      <c r="AL6" s="22" t="n">
        <f aca="false">MIN(AK6*(1+Premissas!$C$10),Premissas!$C$11)</f>
        <v>357.308923255467</v>
      </c>
      <c r="AM6" s="22" t="n">
        <f aca="false">MIN(AL6*(1+Premissas!$C$10),Premissas!$C$11)</f>
        <v>373.387824801963</v>
      </c>
      <c r="AN6" s="22" t="n">
        <f aca="false">MIN(AM6*(1+Premissas!$C$10),Premissas!$C$11)</f>
        <v>390.190276918051</v>
      </c>
      <c r="AO6" s="22" t="n">
        <f aca="false">MIN(AN6*(1+Premissas!$C$10),Premissas!$C$11)</f>
        <v>407.748839379363</v>
      </c>
      <c r="AP6" s="22" t="n">
        <f aca="false">MIN(AO6*(1+Premissas!$C$10),Premissas!$C$11)</f>
        <v>426.097537151435</v>
      </c>
      <c r="AQ6" s="22" t="n">
        <f aca="false">MIN(AP6*(1+Premissas!$C$10),Premissas!$C$11)</f>
        <v>445.271926323249</v>
      </c>
      <c r="AR6" s="22" t="n">
        <f aca="false">MIN(AQ6*(1+Premissas!$C$10),Premissas!$C$11)</f>
        <v>465.309163007795</v>
      </c>
      <c r="AS6" s="22" t="n">
        <f aca="false">MIN(AR6*(1+Premissas!$C$10),Premissas!$C$11)</f>
        <v>486.248075343146</v>
      </c>
      <c r="AT6" s="22" t="n">
        <f aca="false">MIN(AS6*(1+Premissas!$C$10),Premissas!$C$11)</f>
        <v>508.129238733588</v>
      </c>
      <c r="AU6" s="22" t="n">
        <f aca="false">MIN(AT6*(1+Premissas!$C$10),Premissas!$C$11)</f>
        <v>530.995054476599</v>
      </c>
      <c r="AV6" s="22" t="n">
        <f aca="false">MIN(AU6*(1+Premissas!$C$10),Premissas!$C$11)</f>
        <v>554.889831928046</v>
      </c>
      <c r="AW6" s="22" t="n">
        <f aca="false">MIN(AV6*(1+Premissas!$C$10),Premissas!$C$11)</f>
        <v>579.859874364808</v>
      </c>
      <c r="AX6" s="22" t="n">
        <f aca="false">MIN(AW6*(1+Premissas!$C$10),Premissas!$C$11)</f>
        <v>605.953568711224</v>
      </c>
      <c r="AY6" s="22" t="n">
        <f aca="false">MIN(AX6*(1+Premissas!$C$10),Premissas!$C$11)</f>
        <v>633.221479303229</v>
      </c>
      <c r="AZ6" s="22" t="n">
        <f aca="false">MIN(AY6*(1+Premissas!$C$10),Premissas!$C$11)</f>
        <v>661.716445871875</v>
      </c>
      <c r="BA6" s="22" t="n">
        <f aca="false">MIN(AZ6*(1+Premissas!$C$10),Premissas!$C$11)</f>
        <v>691.493685936109</v>
      </c>
      <c r="BB6" s="22" t="n">
        <f aca="false">MIN(BA6*(1+Premissas!$C$10),Premissas!$C$11)</f>
        <v>722.610901803234</v>
      </c>
      <c r="BC6" s="22" t="n">
        <f aca="false">MIN(BB6*(1+Premissas!$C$10),Premissas!$C$11)</f>
        <v>755.128392384379</v>
      </c>
      <c r="BD6" s="22" t="n">
        <f aca="false">MIN(BC6*(1+Premissas!$C$10),Premissas!$C$11)</f>
        <v>789.109170041676</v>
      </c>
      <c r="BE6" s="22" t="n">
        <f aca="false">MIN(BD6*(1+Premissas!$C$10),Premissas!$C$11)</f>
        <v>824.619082693552</v>
      </c>
      <c r="BF6" s="22" t="n">
        <f aca="false">MIN(BE6*(1+Premissas!$C$10),Premissas!$C$11)</f>
        <v>861.726941414761</v>
      </c>
      <c r="BG6" s="22" t="n">
        <f aca="false">MIN(BF6*(1+Premissas!$C$10),Premissas!$C$11)</f>
        <v>900</v>
      </c>
      <c r="BH6" s="22" t="n">
        <f aca="false">MIN(BG6*(1+Premissas!$C$10),Premissas!$C$11)</f>
        <v>900</v>
      </c>
      <c r="BI6" s="22" t="n">
        <f aca="false">MIN(BH6*(1+Premissas!$C$10),Premissas!$C$11)</f>
        <v>900</v>
      </c>
      <c r="BJ6" s="22" t="n">
        <f aca="false">MIN(BI6*(1+Premissas!$C$10),Premissas!$C$11)</f>
        <v>900</v>
      </c>
      <c r="BK6" s="22" t="n">
        <f aca="false">MIN(BJ6*(1+Premissas!$C$10),Premissas!$C$11)</f>
        <v>900</v>
      </c>
    </row>
    <row r="7" customFormat="false" ht="15" hidden="false" customHeight="false" outlineLevel="0" collapsed="false">
      <c r="A7" s="9" t="s">
        <v>145</v>
      </c>
      <c r="B7" s="19" t="s">
        <v>144</v>
      </c>
      <c r="C7" s="22" t="n">
        <v>0</v>
      </c>
      <c r="D7" s="22" t="n">
        <v>0</v>
      </c>
      <c r="E7" s="22" t="n">
        <f aca="false">C6*Premissas!$C$12</f>
        <v>0</v>
      </c>
      <c r="F7" s="22" t="n">
        <f aca="false">D6*Premissas!$C$12</f>
        <v>4.8</v>
      </c>
      <c r="G7" s="22" t="n">
        <f aca="false">E6*Premissas!$C$12</f>
        <v>5.016</v>
      </c>
      <c r="H7" s="22" t="n">
        <f aca="false">F6*Premissas!$C$12</f>
        <v>5.24172</v>
      </c>
      <c r="I7" s="22" t="n">
        <f aca="false">G6*Premissas!$C$12</f>
        <v>5.4775974</v>
      </c>
      <c r="J7" s="22" t="n">
        <f aca="false">H6*Premissas!$C$12</f>
        <v>5.724089283</v>
      </c>
      <c r="K7" s="22" t="n">
        <f aca="false">I6*Premissas!$C$12</f>
        <v>5.981673300735</v>
      </c>
      <c r="L7" s="22" t="n">
        <f aca="false">J6*Premissas!$C$12</f>
        <v>6.25084859926807</v>
      </c>
      <c r="M7" s="22" t="n">
        <f aca="false">K6*Premissas!$C$12</f>
        <v>6.53213678623514</v>
      </c>
      <c r="N7" s="22" t="n">
        <f aca="false">L6*Premissas!$C$12</f>
        <v>6.82608294161572</v>
      </c>
      <c r="O7" s="22" t="n">
        <f aca="false">M6*Premissas!$C$12</f>
        <v>7.13325667398842</v>
      </c>
      <c r="P7" s="22" t="n">
        <f aca="false">N6*Premissas!$C$12</f>
        <v>7.4542532243179</v>
      </c>
      <c r="Q7" s="22" t="n">
        <f aca="false">O6*Premissas!$C$12</f>
        <v>7.78969461941221</v>
      </c>
      <c r="R7" s="22" t="n">
        <f aca="false">P6*Premissas!$C$12</f>
        <v>8.14023087728576</v>
      </c>
      <c r="S7" s="22" t="n">
        <f aca="false">Q6*Premissas!$C$12</f>
        <v>8.50654126676362</v>
      </c>
      <c r="T7" s="22" t="n">
        <f aca="false">R6*Premissas!$C$12</f>
        <v>8.88933562376798</v>
      </c>
      <c r="U7" s="22" t="n">
        <f aca="false">S6*Premissas!$C$12</f>
        <v>9.28935572683754</v>
      </c>
      <c r="V7" s="22" t="n">
        <f aca="false">T6*Premissas!$C$12</f>
        <v>9.70737673454522</v>
      </c>
      <c r="W7" s="22" t="n">
        <f aca="false">U6*Premissas!$C$12</f>
        <v>10.1442086875998</v>
      </c>
      <c r="X7" s="22" t="n">
        <f aca="false">V6*Premissas!$C$12</f>
        <v>10.6006980785417</v>
      </c>
      <c r="Y7" s="22" t="n">
        <f aca="false">W6*Premissas!$C$12</f>
        <v>11.0777294920761</v>
      </c>
      <c r="Z7" s="22" t="n">
        <f aca="false">X6*Premissas!$C$12</f>
        <v>11.5762273192195</v>
      </c>
      <c r="AA7" s="22" t="n">
        <f aca="false">Y6*Premissas!$C$12</f>
        <v>12.0971575485844</v>
      </c>
      <c r="AB7" s="22" t="n">
        <f aca="false">Z6*Premissas!$C$12</f>
        <v>12.6415296382707</v>
      </c>
      <c r="AC7" s="22" t="n">
        <f aca="false">AA6*Premissas!$C$12</f>
        <v>13.2103984719929</v>
      </c>
      <c r="AD7" s="22" t="n">
        <f aca="false">AB6*Premissas!$C$12</f>
        <v>13.8048664032326</v>
      </c>
      <c r="AE7" s="22" t="n">
        <f aca="false">AC6*Premissas!$C$12</f>
        <v>14.4260853913781</v>
      </c>
      <c r="AF7" s="22" t="n">
        <f aca="false">AD6*Premissas!$C$12</f>
        <v>15.0752592339901</v>
      </c>
      <c r="AG7" s="22" t="n">
        <f aca="false">AE6*Premissas!$C$12</f>
        <v>15.7536458995196</v>
      </c>
      <c r="AH7" s="22" t="n">
        <f aca="false">AF6*Premissas!$C$12</f>
        <v>16.462559964998</v>
      </c>
      <c r="AI7" s="22" t="n">
        <f aca="false">AG6*Premissas!$C$12</f>
        <v>17.2033751634229</v>
      </c>
      <c r="AJ7" s="22" t="n">
        <f aca="false">AH6*Premissas!$C$12</f>
        <v>17.9775270457769</v>
      </c>
      <c r="AK7" s="22" t="n">
        <f aca="false">AI6*Premissas!$C$12</f>
        <v>18.7865157628369</v>
      </c>
      <c r="AL7" s="22" t="n">
        <f aca="false">AJ6*Premissas!$C$12</f>
        <v>19.6319089721646</v>
      </c>
      <c r="AM7" s="22" t="n">
        <f aca="false">AK6*Premissas!$C$12</f>
        <v>20.515344875912</v>
      </c>
      <c r="AN7" s="22" t="n">
        <f aca="false">AL6*Premissas!$C$12</f>
        <v>21.438535395328</v>
      </c>
      <c r="AO7" s="22" t="n">
        <f aca="false">AM6*Premissas!$C$12</f>
        <v>22.4032694881178</v>
      </c>
      <c r="AP7" s="22" t="n">
        <f aca="false">AN6*Premissas!$C$12</f>
        <v>23.4114166150831</v>
      </c>
      <c r="AQ7" s="22" t="n">
        <f aca="false">AO6*Premissas!$C$12</f>
        <v>24.4649303627618</v>
      </c>
      <c r="AR7" s="22" t="n">
        <f aca="false">AP6*Premissas!$C$12</f>
        <v>25.5658522290861</v>
      </c>
      <c r="AS7" s="22" t="n">
        <f aca="false">AQ6*Premissas!$C$12</f>
        <v>26.7163155793949</v>
      </c>
      <c r="AT7" s="22" t="n">
        <f aca="false">AR6*Premissas!$C$12</f>
        <v>27.9185497804677</v>
      </c>
      <c r="AU7" s="22" t="n">
        <f aca="false">AS6*Premissas!$C$12</f>
        <v>29.1748845205888</v>
      </c>
      <c r="AV7" s="22" t="n">
        <f aca="false">AT6*Premissas!$C$12</f>
        <v>30.4877543240153</v>
      </c>
      <c r="AW7" s="22" t="n">
        <f aca="false">AU6*Premissas!$C$12</f>
        <v>31.8597032685959</v>
      </c>
      <c r="AX7" s="22" t="n">
        <f aca="false">AV6*Premissas!$C$12</f>
        <v>33.2933899156828</v>
      </c>
      <c r="AY7" s="22" t="n">
        <f aca="false">AW6*Premissas!$C$12</f>
        <v>34.7915924618885</v>
      </c>
      <c r="AZ7" s="22" t="n">
        <f aca="false">AX6*Premissas!$C$12</f>
        <v>36.3572141226735</v>
      </c>
      <c r="BA7" s="22" t="n">
        <f aca="false">AY6*Premissas!$C$12</f>
        <v>37.9932887581938</v>
      </c>
      <c r="BB7" s="22" t="n">
        <f aca="false">AZ6*Premissas!$C$12</f>
        <v>39.7029867523125</v>
      </c>
      <c r="BC7" s="22" t="n">
        <f aca="false">BA6*Premissas!$C$12</f>
        <v>41.4896211561665</v>
      </c>
      <c r="BD7" s="22" t="n">
        <f aca="false">BB6*Premissas!$C$12</f>
        <v>43.356654108194</v>
      </c>
      <c r="BE7" s="22" t="n">
        <f aca="false">BC6*Premissas!$C$12</f>
        <v>45.3077035430627</v>
      </c>
      <c r="BF7" s="22" t="n">
        <f aca="false">BD6*Premissas!$C$12</f>
        <v>47.3465502025006</v>
      </c>
      <c r="BG7" s="22" t="n">
        <f aca="false">BE6*Premissas!$C$12</f>
        <v>49.4771449616131</v>
      </c>
      <c r="BH7" s="22" t="n">
        <f aca="false">BF6*Premissas!$C$12</f>
        <v>51.7036164848857</v>
      </c>
      <c r="BI7" s="22" t="n">
        <f aca="false">BG6*Premissas!$C$12</f>
        <v>54</v>
      </c>
      <c r="BJ7" s="22" t="n">
        <f aca="false">BH6*Premissas!$C$12</f>
        <v>54</v>
      </c>
      <c r="BK7" s="22" t="n">
        <f aca="false">BI6*Premissas!$C$12</f>
        <v>54</v>
      </c>
    </row>
    <row r="8" customFormat="false" ht="15" hidden="false" customHeight="false" outlineLevel="0" collapsed="false">
      <c r="A8" s="9" t="s">
        <v>146</v>
      </c>
      <c r="B8" s="19" t="s">
        <v>144</v>
      </c>
      <c r="C8" s="22" t="n">
        <v>0</v>
      </c>
      <c r="D8" s="22" t="n">
        <f aca="false">C8*(1-Premissas!$C$14)+D6-D7</f>
        <v>80</v>
      </c>
      <c r="E8" s="22" t="n">
        <f aca="false">D8*(1-Premissas!$C$14)+E6-E7</f>
        <v>154</v>
      </c>
      <c r="F8" s="22" t="n">
        <f aca="false">E8*(1-Premissas!$C$14)+F6-F7</f>
        <v>218.082</v>
      </c>
      <c r="G8" s="22" t="n">
        <f aca="false">F8*(1-Premissas!$C$14)+G6-G7</f>
        <v>278.18945</v>
      </c>
      <c r="H8" s="22" t="n">
        <f aca="false">G8*(1-Premissas!$C$14)+H6-H7</f>
        <v>334.96648405</v>
      </c>
      <c r="I8" s="22" t="n">
        <f aca="false">H8*(1-Premissas!$C$14)+I6-I7</f>
        <v>388.98746357625</v>
      </c>
      <c r="J8" s="22" t="n">
        <f aca="false">I8*(1-Premissas!$C$14)+J6-J7</f>
        <v>440.765688651901</v>
      </c>
      <c r="K8" s="22" t="n">
        <f aca="false">J8*(1-Premissas!$C$14)+K6-K7</f>
        <v>490.76107915019</v>
      </c>
      <c r="L8" s="22" t="n">
        <f aca="false">K8*(1-Premissas!$C$14)+L6-L7</f>
        <v>539.386950079828</v>
      </c>
      <c r="M8" s="22" t="n">
        <f aca="false">L8*(1-Premissas!$C$14)+M6-M7</f>
        <v>587.015990517154</v>
      </c>
      <c r="N8" s="22" t="n">
        <f aca="false">M8*(1-Premissas!$C$14)+N6-N7</f>
        <v>633.985542452111</v>
      </c>
      <c r="O8" s="22" t="n">
        <f aca="false">N8*(1-Premissas!$C$14)+O6-O7</f>
        <v>680.60226434074</v>
      </c>
      <c r="P8" s="22" t="n">
        <f aca="false">O8*(1-Premissas!$C$14)+P6-P7</f>
        <v>727.146254016963</v>
      </c>
      <c r="Q8" s="22" t="n">
        <f aca="false">P8*(1-Premissas!$C$14)+Q6-Q7</f>
        <v>773.874696694908</v>
      </c>
      <c r="R8" s="22" t="n">
        <f aca="false">Q8*(1-Premissas!$C$14)+R6-R7</f>
        <v>821.0250959437</v>
      </c>
      <c r="S8" s="22" t="n">
        <f aca="false">R8*(1-Premissas!$C$14)+S6-S7</f>
        <v>868.818138610985</v>
      </c>
      <c r="T8" s="22" t="n">
        <f aca="false">S8*(1-Premissas!$C$14)+T6-T7</f>
        <v>917.460238596319</v>
      </c>
      <c r="U8" s="22" t="n">
        <f aca="false">T8*(1-Premissas!$C$14)+U6-U7</f>
        <v>967.145799031252</v>
      </c>
      <c r="V8" s="22" t="n">
        <f aca="false">U8*(1-Premissas!$C$14)+V6-V7</f>
        <v>1018.05922772199</v>
      </c>
      <c r="W8" s="22" t="n">
        <f aca="false">V8*(1-Premissas!$C$14)+W6-W7</f>
        <v>1070.37673657568</v>
      </c>
      <c r="X8" s="22" t="n">
        <f aca="false">W8*(1-Premissas!$C$14)+X6-X7</f>
        <v>1124.26795209505</v>
      </c>
      <c r="Y8" s="22" t="n">
        <f aca="false">X8*(1-Premissas!$C$14)+Y6-Y7</f>
        <v>1179.89736082798</v>
      </c>
      <c r="Z8" s="22" t="n">
        <f aca="false">Y8*(1-Premissas!$C$14)+Z6-Z7</f>
        <v>1237.42561084725</v>
      </c>
      <c r="AA8" s="22" t="n">
        <f aca="false">Z8*(1-Premissas!$C$14)+AA6-AA7</f>
        <v>1297.01068786354</v>
      </c>
      <c r="AB8" s="22" t="n">
        <f aca="false">AA8*(1-Premissas!$C$14)+AB6-AB7</f>
        <v>1358.80898240219</v>
      </c>
      <c r="AC8" s="22" t="n">
        <f aca="false">AB8*(1-Premissas!$C$14)+AC6-AC7</f>
        <v>1422.9762625649</v>
      </c>
      <c r="AD8" s="22" t="n">
        <f aca="false">AC8*(1-Premissas!$C$14)+AD6-AD7</f>
        <v>1489.66856522038</v>
      </c>
      <c r="AE8" s="22" t="n">
        <f aca="false">AD8*(1-Premissas!$C$14)+AE6-AE7</f>
        <v>1559.04301699455</v>
      </c>
      <c r="AF8" s="22" t="n">
        <f aca="false">AE8*(1-Premissas!$C$14)+AF6-AF7</f>
        <v>1631.25859513785</v>
      </c>
      <c r="AG8" s="22" t="n">
        <f aca="false">AF8*(1-Premissas!$C$14)+AG6-AG7</f>
        <v>1706.47683721217</v>
      </c>
      <c r="AH8" s="22" t="n">
        <f aca="false">AG8*(1-Premissas!$C$14)+AH6-AH7</f>
        <v>1784.86250754466</v>
      </c>
      <c r="AI8" s="22" t="n">
        <f aca="false">AH8*(1-Premissas!$C$14)+AI6-AI7</f>
        <v>1866.58422752316</v>
      </c>
      <c r="AJ8" s="22" t="n">
        <f aca="false">AI8*(1-Premissas!$C$14)+AJ6-AJ7</f>
        <v>1951.81507604401</v>
      </c>
      <c r="AK8" s="22" t="n">
        <f aca="false">AJ8*(1-Premissas!$C$14)+AK6-AK7</f>
        <v>2040.73316575443</v>
      </c>
      <c r="AL8" s="22" t="n">
        <f aca="false">AK8*(1-Premissas!$C$14)+AL6-AL7</f>
        <v>2133.5222001472</v>
      </c>
      <c r="AM8" s="22" t="n">
        <f aca="false">AL8*(1-Premissas!$C$14)+AM6-AM7</f>
        <v>2230.37201605558</v>
      </c>
      <c r="AN8" s="22" t="n">
        <f aca="false">AM8*(1-Premissas!$C$14)+AN6-AN7</f>
        <v>2331.47911565164</v>
      </c>
      <c r="AO8" s="22" t="n">
        <f aca="false">AN8*(1-Premissas!$C$14)+AO6-AO7</f>
        <v>2437.04719166469</v>
      </c>
      <c r="AP8" s="22" t="n">
        <f aca="false">AO8*(1-Premissas!$C$14)+AP6-AP7</f>
        <v>2547.28764920128</v>
      </c>
      <c r="AQ8" s="22" t="n">
        <f aca="false">AP8*(1-Premissas!$C$14)+AQ6-AQ7</f>
        <v>2662.42012725761</v>
      </c>
      <c r="AR8" s="22" t="n">
        <f aca="false">AQ8*(1-Premissas!$C$14)+AR6-AR7</f>
        <v>2782.67302276541</v>
      </c>
      <c r="AS8" s="22" t="n">
        <f aca="false">AR8*(1-Premissas!$C$14)+AS6-AS7</f>
        <v>2908.28401979731</v>
      </c>
      <c r="AT8" s="22" t="n">
        <f aca="false">AS8*(1-Premissas!$C$14)+AT6-AT7</f>
        <v>3039.50062637475</v>
      </c>
      <c r="AU8" s="22" t="n">
        <f aca="false">AT8*(1-Premissas!$C$14)+AU6-AU7</f>
        <v>3176.58072116579</v>
      </c>
      <c r="AV8" s="22" t="n">
        <f aca="false">AU8*(1-Premissas!$C$14)+AV6-AV7</f>
        <v>3319.79311222993</v>
      </c>
      <c r="AW8" s="22" t="n">
        <f aca="false">AV8*(1-Premissas!$C$14)+AW6-AW7</f>
        <v>3469.41810985855</v>
      </c>
      <c r="AX8" s="22" t="n">
        <f aca="false">AW8*(1-Premissas!$C$14)+AX6-AX7</f>
        <v>3625.74811547106</v>
      </c>
      <c r="AY8" s="22" t="n">
        <f aca="false">AX8*(1-Premissas!$C$14)+AY6-AY7</f>
        <v>3789.08822845588</v>
      </c>
      <c r="AZ8" s="22" t="n">
        <f aca="false">AY8*(1-Premissas!$C$14)+AZ6-AZ7</f>
        <v>3959.75687279037</v>
      </c>
      <c r="BA8" s="22" t="n">
        <f aca="false">AZ8*(1-Premissas!$C$14)+BA6-BA7</f>
        <v>4138.08644523344</v>
      </c>
      <c r="BB8" s="22" t="n">
        <f aca="false">BA8*(1-Premissas!$C$14)+BB6-BB7</f>
        <v>4324.42398685635</v>
      </c>
      <c r="BC8" s="22" t="n">
        <f aca="false">BB8*(1-Premissas!$C$14)+BC6-BC7</f>
        <v>4519.1318796618</v>
      </c>
      <c r="BD8" s="22" t="n">
        <f aca="false">BC8*(1-Premissas!$C$14)+BD6-BD7</f>
        <v>4722.58857003587</v>
      </c>
      <c r="BE8" s="22" t="n">
        <f aca="false">BD8*(1-Premissas!$C$14)+BE6-BE7</f>
        <v>4935.18932078205</v>
      </c>
      <c r="BF8" s="22" t="n">
        <f aca="false">BE8*(1-Premissas!$C$14)+BF6-BF7</f>
        <v>5157.34699350047</v>
      </c>
      <c r="BG8" s="22" t="n">
        <f aca="false">BF8*(1-Premissas!$C$14)+BG6-BG7</f>
        <v>5388.9882093188</v>
      </c>
      <c r="BH8" s="22" t="n">
        <f aca="false">BG8*(1-Premissas!$C$14)+BH6-BH7</f>
        <v>5590.60600771566</v>
      </c>
      <c r="BI8" s="22" t="n">
        <f aca="false">BH8*(1-Premissas!$C$14)+BI6-BI7</f>
        <v>5765.73328678978</v>
      </c>
      <c r="BJ8" s="22" t="n">
        <f aca="false">BI8*(1-Premissas!$C$14)+BJ6-BJ7</f>
        <v>5919.84529237501</v>
      </c>
      <c r="BK8" s="22" t="n">
        <f aca="false">BJ8*(1-Premissas!$C$14)+BK6-BK7</f>
        <v>6055.46385729</v>
      </c>
    </row>
    <row r="9" customFormat="false" ht="15" hidden="false" customHeight="false" outlineLevel="0" collapsed="false">
      <c r="A9" s="9" t="s">
        <v>147</v>
      </c>
      <c r="B9" s="19" t="s">
        <v>144</v>
      </c>
      <c r="C9" s="22" t="n">
        <v>0</v>
      </c>
      <c r="D9" s="22" t="n">
        <f aca="false">D7*Premissas!$C$13</f>
        <v>0</v>
      </c>
      <c r="E9" s="22" t="n">
        <f aca="false">E7*Premissas!$C$13</f>
        <v>0</v>
      </c>
      <c r="F9" s="22" t="n">
        <f aca="false">F7*Premissas!$C$13</f>
        <v>3.6</v>
      </c>
      <c r="G9" s="22" t="n">
        <f aca="false">G7*Premissas!$C$13</f>
        <v>3.762</v>
      </c>
      <c r="H9" s="22" t="n">
        <f aca="false">H7*Premissas!$C$13</f>
        <v>3.93129</v>
      </c>
      <c r="I9" s="22" t="n">
        <f aca="false">I7*Premissas!$C$13</f>
        <v>4.10819805</v>
      </c>
      <c r="J9" s="22" t="n">
        <f aca="false">J7*Premissas!$C$13</f>
        <v>4.29306696225</v>
      </c>
      <c r="K9" s="22" t="n">
        <f aca="false">K7*Premissas!$C$13</f>
        <v>4.48625497555125</v>
      </c>
      <c r="L9" s="22" t="n">
        <f aca="false">L7*Premissas!$C$13</f>
        <v>4.68813644945105</v>
      </c>
      <c r="M9" s="22" t="n">
        <f aca="false">M7*Premissas!$C$13</f>
        <v>4.89910258967635</v>
      </c>
      <c r="N9" s="22" t="n">
        <f aca="false">N7*Premissas!$C$13</f>
        <v>5.11956220621179</v>
      </c>
      <c r="O9" s="22" t="n">
        <f aca="false">O7*Premissas!$C$13</f>
        <v>5.34994250549132</v>
      </c>
      <c r="P9" s="22" t="n">
        <f aca="false">P7*Premissas!$C$13</f>
        <v>5.59068991823843</v>
      </c>
      <c r="Q9" s="22" t="n">
        <f aca="false">Q7*Premissas!$C$13</f>
        <v>5.84227096455916</v>
      </c>
      <c r="R9" s="22" t="n">
        <f aca="false">R7*Premissas!$C$13</f>
        <v>6.10517315796432</v>
      </c>
      <c r="S9" s="22" t="n">
        <f aca="false">S7*Premissas!$C$13</f>
        <v>6.37990595007271</v>
      </c>
      <c r="T9" s="22" t="n">
        <f aca="false">T7*Premissas!$C$13</f>
        <v>6.66700171782598</v>
      </c>
      <c r="U9" s="22" t="n">
        <f aca="false">U7*Premissas!$C$13</f>
        <v>6.96701679512815</v>
      </c>
      <c r="V9" s="22" t="n">
        <f aca="false">V7*Premissas!$C$13</f>
        <v>7.28053255090892</v>
      </c>
      <c r="W9" s="22" t="n">
        <f aca="false">W7*Premissas!$C$13</f>
        <v>7.60815651569982</v>
      </c>
      <c r="X9" s="22" t="n">
        <f aca="false">X7*Premissas!$C$13</f>
        <v>7.95052355890631</v>
      </c>
      <c r="Y9" s="22" t="n">
        <f aca="false">Y7*Premissas!$C$13</f>
        <v>8.30829711905709</v>
      </c>
      <c r="Z9" s="22" t="n">
        <f aca="false">Z7*Premissas!$C$13</f>
        <v>8.68217048941466</v>
      </c>
      <c r="AA9" s="22" t="n">
        <f aca="false">AA7*Premissas!$C$13</f>
        <v>9.07286816143832</v>
      </c>
      <c r="AB9" s="22" t="n">
        <f aca="false">AB7*Premissas!$C$13</f>
        <v>9.48114722870304</v>
      </c>
      <c r="AC9" s="22" t="n">
        <f aca="false">AC7*Premissas!$C$13</f>
        <v>9.90779885399468</v>
      </c>
      <c r="AD9" s="22" t="n">
        <f aca="false">AD7*Premissas!$C$13</f>
        <v>10.3536498024244</v>
      </c>
      <c r="AE9" s="22" t="n">
        <f aca="false">AE7*Premissas!$C$13</f>
        <v>10.8195640435335</v>
      </c>
      <c r="AF9" s="22" t="n">
        <f aca="false">AF7*Premissas!$C$13</f>
        <v>11.3064444254925</v>
      </c>
      <c r="AG9" s="22" t="n">
        <f aca="false">AG7*Premissas!$C$13</f>
        <v>11.8152344246397</v>
      </c>
      <c r="AH9" s="22" t="n">
        <f aca="false">AH7*Premissas!$C$13</f>
        <v>12.3469199737485</v>
      </c>
      <c r="AI9" s="22" t="n">
        <f aca="false">AI7*Premissas!$C$13</f>
        <v>12.9025313725672</v>
      </c>
      <c r="AJ9" s="22" t="n">
        <f aca="false">AJ7*Premissas!$C$13</f>
        <v>13.4831452843327</v>
      </c>
      <c r="AK9" s="22" t="n">
        <f aca="false">AK7*Premissas!$C$13</f>
        <v>14.0898868221277</v>
      </c>
      <c r="AL9" s="22" t="n">
        <f aca="false">AL7*Premissas!$C$13</f>
        <v>14.7239317291234</v>
      </c>
      <c r="AM9" s="22" t="n">
        <f aca="false">AM7*Premissas!$C$13</f>
        <v>15.386508656934</v>
      </c>
      <c r="AN9" s="22" t="n">
        <f aca="false">AN7*Premissas!$C$13</f>
        <v>16.078901546496</v>
      </c>
      <c r="AO9" s="22" t="n">
        <f aca="false">AO7*Premissas!$C$13</f>
        <v>16.8024521160883</v>
      </c>
      <c r="AP9" s="22" t="n">
        <f aca="false">AP7*Premissas!$C$13</f>
        <v>17.5585624613123</v>
      </c>
      <c r="AQ9" s="22" t="n">
        <f aca="false">AQ7*Premissas!$C$13</f>
        <v>18.3486977720713</v>
      </c>
      <c r="AR9" s="22" t="n">
        <f aca="false">AR7*Premissas!$C$13</f>
        <v>19.1743891718146</v>
      </c>
      <c r="AS9" s="22" t="n">
        <f aca="false">AS7*Premissas!$C$13</f>
        <v>20.0372366845462</v>
      </c>
      <c r="AT9" s="22" t="n">
        <f aca="false">AT7*Premissas!$C$13</f>
        <v>20.9389123353508</v>
      </c>
      <c r="AU9" s="22" t="n">
        <f aca="false">AU7*Premissas!$C$13</f>
        <v>21.8811633904416</v>
      </c>
      <c r="AV9" s="22" t="n">
        <f aca="false">AV7*Premissas!$C$13</f>
        <v>22.8658157430114</v>
      </c>
      <c r="AW9" s="22" t="n">
        <f aca="false">AW7*Premissas!$C$13</f>
        <v>23.894777451447</v>
      </c>
      <c r="AX9" s="22" t="n">
        <f aca="false">AX7*Premissas!$C$13</f>
        <v>24.9700424367621</v>
      </c>
      <c r="AY9" s="22" t="n">
        <f aca="false">AY7*Premissas!$C$13</f>
        <v>26.0936943464164</v>
      </c>
      <c r="AZ9" s="22" t="n">
        <f aca="false">AZ7*Premissas!$C$13</f>
        <v>27.2679105920051</v>
      </c>
      <c r="BA9" s="22" t="n">
        <f aca="false">BA7*Premissas!$C$13</f>
        <v>28.4949665686453</v>
      </c>
      <c r="BB9" s="22" t="n">
        <f aca="false">BB7*Premissas!$C$13</f>
        <v>29.7772400642344</v>
      </c>
      <c r="BC9" s="22" t="n">
        <f aca="false">BC7*Premissas!$C$13</f>
        <v>31.1172158671249</v>
      </c>
      <c r="BD9" s="22" t="n">
        <f aca="false">BD7*Premissas!$C$13</f>
        <v>32.5174905811455</v>
      </c>
      <c r="BE9" s="22" t="n">
        <f aca="false">BE7*Premissas!$C$13</f>
        <v>33.9807776572971</v>
      </c>
      <c r="BF9" s="22" t="n">
        <f aca="false">BF7*Premissas!$C$13</f>
        <v>35.5099126518754</v>
      </c>
      <c r="BG9" s="22" t="n">
        <f aca="false">BG7*Premissas!$C$13</f>
        <v>37.1078587212098</v>
      </c>
      <c r="BH9" s="22" t="n">
        <f aca="false">BH7*Premissas!$C$13</f>
        <v>38.7777123636643</v>
      </c>
      <c r="BI9" s="22" t="n">
        <f aca="false">BI7*Premissas!$C$13</f>
        <v>40.5</v>
      </c>
      <c r="BJ9" s="22" t="n">
        <f aca="false">BJ7*Premissas!$C$13</f>
        <v>40.5</v>
      </c>
      <c r="BK9" s="22" t="n">
        <f aca="false">BK7*Premissas!$C$13</f>
        <v>40.5</v>
      </c>
    </row>
    <row r="10" customFormat="false" ht="15" hidden="false" customHeight="false" outlineLevel="0" collapsed="false">
      <c r="A10" s="9" t="s">
        <v>148</v>
      </c>
      <c r="B10" s="19" t="s">
        <v>144</v>
      </c>
      <c r="C10" s="22" t="n">
        <v>0</v>
      </c>
      <c r="D10" s="22" t="n">
        <f aca="false">D7*(1-Premissas!$C$13)</f>
        <v>0</v>
      </c>
      <c r="E10" s="22" t="n">
        <f aca="false">E7*(1-Premissas!$C$13)</f>
        <v>0</v>
      </c>
      <c r="F10" s="22" t="n">
        <f aca="false">F7*(1-Premissas!$C$13)</f>
        <v>1.2</v>
      </c>
      <c r="G10" s="22" t="n">
        <f aca="false">G7*(1-Premissas!$C$13)</f>
        <v>1.254</v>
      </c>
      <c r="H10" s="22" t="n">
        <f aca="false">H7*(1-Premissas!$C$13)</f>
        <v>1.31043</v>
      </c>
      <c r="I10" s="22" t="n">
        <f aca="false">I7*(1-Premissas!$C$13)</f>
        <v>1.36939935</v>
      </c>
      <c r="J10" s="22" t="n">
        <f aca="false">J7*(1-Premissas!$C$13)</f>
        <v>1.43102232075</v>
      </c>
      <c r="K10" s="22" t="n">
        <f aca="false">K7*(1-Premissas!$C$13)</f>
        <v>1.49541832518375</v>
      </c>
      <c r="L10" s="22" t="n">
        <f aca="false">L7*(1-Premissas!$C$13)</f>
        <v>1.56271214981702</v>
      </c>
      <c r="M10" s="22" t="n">
        <f aca="false">M7*(1-Premissas!$C$13)</f>
        <v>1.63303419655878</v>
      </c>
      <c r="N10" s="22" t="n">
        <f aca="false">N7*(1-Premissas!$C$13)</f>
        <v>1.70652073540393</v>
      </c>
      <c r="O10" s="22" t="n">
        <f aca="false">O7*(1-Premissas!$C$13)</f>
        <v>1.78331416849711</v>
      </c>
      <c r="P10" s="22" t="n">
        <f aca="false">P7*(1-Premissas!$C$13)</f>
        <v>1.86356330607948</v>
      </c>
      <c r="Q10" s="22" t="n">
        <f aca="false">Q7*(1-Premissas!$C$13)</f>
        <v>1.94742365485305</v>
      </c>
      <c r="R10" s="22" t="n">
        <f aca="false">R7*(1-Premissas!$C$13)</f>
        <v>2.03505771932144</v>
      </c>
      <c r="S10" s="22" t="n">
        <f aca="false">S7*(1-Premissas!$C$13)</f>
        <v>2.1266353166909</v>
      </c>
      <c r="T10" s="22" t="n">
        <f aca="false">T7*(1-Premissas!$C$13)</f>
        <v>2.22233390594199</v>
      </c>
      <c r="U10" s="22" t="n">
        <f aca="false">U7*(1-Premissas!$C$13)</f>
        <v>2.32233893170938</v>
      </c>
      <c r="V10" s="22" t="n">
        <f aca="false">V7*(1-Premissas!$C$13)</f>
        <v>2.42684418363631</v>
      </c>
      <c r="W10" s="22" t="n">
        <f aca="false">W7*(1-Premissas!$C$13)</f>
        <v>2.53605217189994</v>
      </c>
      <c r="X10" s="22" t="n">
        <f aca="false">X7*(1-Premissas!$C$13)</f>
        <v>2.65017451963544</v>
      </c>
      <c r="Y10" s="22" t="n">
        <f aca="false">Y7*(1-Premissas!$C$13)</f>
        <v>2.76943237301903</v>
      </c>
      <c r="Z10" s="22" t="n">
        <f aca="false">Z7*(1-Premissas!$C$13)</f>
        <v>2.89405682980489</v>
      </c>
      <c r="AA10" s="22" t="n">
        <f aca="false">AA7*(1-Premissas!$C$13)</f>
        <v>3.02428938714611</v>
      </c>
      <c r="AB10" s="22" t="n">
        <f aca="false">AB7*(1-Premissas!$C$13)</f>
        <v>3.16038240956768</v>
      </c>
      <c r="AC10" s="22" t="n">
        <f aca="false">AC7*(1-Premissas!$C$13)</f>
        <v>3.30259961799823</v>
      </c>
      <c r="AD10" s="22" t="n">
        <f aca="false">AD7*(1-Premissas!$C$13)</f>
        <v>3.45121660080815</v>
      </c>
      <c r="AE10" s="22" t="n">
        <f aca="false">AE7*(1-Premissas!$C$13)</f>
        <v>3.60652134784451</v>
      </c>
      <c r="AF10" s="22" t="n">
        <f aca="false">AF7*(1-Premissas!$C$13)</f>
        <v>3.76881480849752</v>
      </c>
      <c r="AG10" s="22" t="n">
        <f aca="false">AG7*(1-Premissas!$C$13)</f>
        <v>3.9384114748799</v>
      </c>
      <c r="AH10" s="22" t="n">
        <f aca="false">AH7*(1-Premissas!$C$13)</f>
        <v>4.1156399912495</v>
      </c>
      <c r="AI10" s="22" t="n">
        <f aca="false">AI7*(1-Premissas!$C$13)</f>
        <v>4.30084379085573</v>
      </c>
      <c r="AJ10" s="22" t="n">
        <f aca="false">AJ7*(1-Premissas!$C$13)</f>
        <v>4.49438176144423</v>
      </c>
      <c r="AK10" s="22" t="n">
        <f aca="false">AK7*(1-Premissas!$C$13)</f>
        <v>4.69662894070923</v>
      </c>
      <c r="AL10" s="22" t="n">
        <f aca="false">AL7*(1-Premissas!$C$13)</f>
        <v>4.90797724304114</v>
      </c>
      <c r="AM10" s="22" t="n">
        <f aca="false">AM7*(1-Premissas!$C$13)</f>
        <v>5.12883621897799</v>
      </c>
      <c r="AN10" s="22" t="n">
        <f aca="false">AN7*(1-Premissas!$C$13)</f>
        <v>5.359633848832</v>
      </c>
      <c r="AO10" s="22" t="n">
        <f aca="false">AO7*(1-Premissas!$C$13)</f>
        <v>5.60081737202944</v>
      </c>
      <c r="AP10" s="22" t="n">
        <f aca="false">AP7*(1-Premissas!$C$13)</f>
        <v>5.85285415377076</v>
      </c>
      <c r="AQ10" s="22" t="n">
        <f aca="false">AQ7*(1-Premissas!$C$13)</f>
        <v>6.11623259069045</v>
      </c>
      <c r="AR10" s="22" t="n">
        <f aca="false">AR7*(1-Premissas!$C$13)</f>
        <v>6.39146305727152</v>
      </c>
      <c r="AS10" s="22" t="n">
        <f aca="false">AS7*(1-Premissas!$C$13)</f>
        <v>6.67907889484874</v>
      </c>
      <c r="AT10" s="22" t="n">
        <f aca="false">AT7*(1-Premissas!$C$13)</f>
        <v>6.97963744511693</v>
      </c>
      <c r="AU10" s="22" t="n">
        <f aca="false">AU7*(1-Premissas!$C$13)</f>
        <v>7.29372113014719</v>
      </c>
      <c r="AV10" s="22" t="n">
        <f aca="false">AV7*(1-Premissas!$C$13)</f>
        <v>7.62193858100381</v>
      </c>
      <c r="AW10" s="22" t="n">
        <f aca="false">AW7*(1-Premissas!$C$13)</f>
        <v>7.96492581714898</v>
      </c>
      <c r="AX10" s="22" t="n">
        <f aca="false">AX7*(1-Premissas!$C$13)</f>
        <v>8.32334747892069</v>
      </c>
      <c r="AY10" s="22" t="n">
        <f aca="false">AY7*(1-Premissas!$C$13)</f>
        <v>8.69789811547212</v>
      </c>
      <c r="AZ10" s="22" t="n">
        <f aca="false">AZ7*(1-Premissas!$C$13)</f>
        <v>9.08930353066836</v>
      </c>
      <c r="BA10" s="22" t="n">
        <f aca="false">BA7*(1-Premissas!$C$13)</f>
        <v>9.49832218954844</v>
      </c>
      <c r="BB10" s="22" t="n">
        <f aca="false">BB7*(1-Premissas!$C$13)</f>
        <v>9.92574668807812</v>
      </c>
      <c r="BC10" s="22" t="n">
        <f aca="false">BC7*(1-Premissas!$C$13)</f>
        <v>10.3724052890416</v>
      </c>
      <c r="BD10" s="22" t="n">
        <f aca="false">BD7*(1-Premissas!$C$13)</f>
        <v>10.8391635270485</v>
      </c>
      <c r="BE10" s="22" t="n">
        <f aca="false">BE7*(1-Premissas!$C$13)</f>
        <v>11.3269258857657</v>
      </c>
      <c r="BF10" s="22" t="n">
        <f aca="false">BF7*(1-Premissas!$C$13)</f>
        <v>11.8366375506251</v>
      </c>
      <c r="BG10" s="22" t="n">
        <f aca="false">BG7*(1-Premissas!$C$13)</f>
        <v>12.3692862404033</v>
      </c>
      <c r="BH10" s="22" t="n">
        <f aca="false">BH7*(1-Premissas!$C$13)</f>
        <v>12.9259041212214</v>
      </c>
      <c r="BI10" s="22" t="n">
        <f aca="false">BI7*(1-Premissas!$C$13)</f>
        <v>13.5</v>
      </c>
      <c r="BJ10" s="22" t="n">
        <f aca="false">BJ7*(1-Premissas!$C$13)</f>
        <v>13.5</v>
      </c>
      <c r="BK10" s="22" t="n">
        <f aca="false">BK7*(1-Premissas!$C$13)</f>
        <v>13.5</v>
      </c>
    </row>
    <row r="11" customFormat="false" ht="15" hidden="false" customHeight="false" outlineLevel="0" collapsed="false">
      <c r="A11" s="9" t="s">
        <v>149</v>
      </c>
      <c r="B11" s="19" t="s">
        <v>144</v>
      </c>
      <c r="C11" s="22" t="n">
        <v>0</v>
      </c>
      <c r="D11" s="22" t="n">
        <f aca="false">C11*(1-Premissas!$C$15)+D9</f>
        <v>0</v>
      </c>
      <c r="E11" s="22" t="n">
        <f aca="false">D11*(1-Premissas!$C$15)+E9</f>
        <v>0</v>
      </c>
      <c r="F11" s="22" t="n">
        <f aca="false">E11*(1-Premissas!$C$15)+F9</f>
        <v>3.6</v>
      </c>
      <c r="G11" s="22" t="n">
        <f aca="false">F11*(1-Premissas!$C$15)+G9</f>
        <v>7.146</v>
      </c>
      <c r="H11" s="22" t="n">
        <f aca="false">G11*(1-Premissas!$C$15)+H9</f>
        <v>10.64853</v>
      </c>
      <c r="I11" s="22" t="n">
        <f aca="false">H11*(1-Premissas!$C$15)+I9</f>
        <v>14.11781625</v>
      </c>
      <c r="J11" s="22" t="n">
        <f aca="false">I11*(1-Premissas!$C$15)+J9</f>
        <v>17.56381423725</v>
      </c>
      <c r="K11" s="22" t="n">
        <f aca="false">J11*(1-Premissas!$C$15)+K9</f>
        <v>20.9962403585662</v>
      </c>
      <c r="L11" s="22" t="n">
        <f aca="false">K11*(1-Premissas!$C$15)+L9</f>
        <v>24.4246023865033</v>
      </c>
      <c r="M11" s="22" t="n">
        <f aca="false">L11*(1-Premissas!$C$15)+M9</f>
        <v>27.8582288329895</v>
      </c>
      <c r="N11" s="22" t="n">
        <f aca="false">M11*(1-Premissas!$C$15)+N9</f>
        <v>31.3062973092219</v>
      </c>
      <c r="O11" s="22" t="n">
        <f aca="false">N11*(1-Premissas!$C$15)+O9</f>
        <v>34.7778619761599</v>
      </c>
      <c r="P11" s="22" t="n">
        <f aca="false">O11*(1-Premissas!$C$15)+P9</f>
        <v>38.2818801758287</v>
      </c>
      <c r="Q11" s="22" t="n">
        <f aca="false">P11*(1-Premissas!$C$15)+Q9</f>
        <v>41.8272383298381</v>
      </c>
      <c r="R11" s="22" t="n">
        <f aca="false">Q11*(1-Premissas!$C$15)+R9</f>
        <v>45.4227771880122</v>
      </c>
      <c r="S11" s="22" t="n">
        <f aca="false">R11*(1-Premissas!$C$15)+S9</f>
        <v>49.0773165068041</v>
      </c>
      <c r="T11" s="22" t="n">
        <f aca="false">S11*(1-Premissas!$C$15)+T9</f>
        <v>52.7996792342219</v>
      </c>
      <c r="U11" s="22" t="n">
        <f aca="false">T11*(1-Premissas!$C$15)+U9</f>
        <v>56.5987152752967</v>
      </c>
      <c r="V11" s="22" t="n">
        <f aca="false">U11*(1-Premissas!$C$15)+V9</f>
        <v>60.4833249096878</v>
      </c>
      <c r="W11" s="22" t="n">
        <f aca="false">V11*(1-Premissas!$C$15)+W9</f>
        <v>64.4624819308064</v>
      </c>
      <c r="X11" s="22" t="n">
        <f aca="false">W11*(1-Premissas!$C$15)+X9</f>
        <v>68.5452565738643</v>
      </c>
      <c r="Y11" s="22" t="n">
        <f aca="false">X11*(1-Premissas!$C$15)+Y9</f>
        <v>72.7408382984895</v>
      </c>
      <c r="Z11" s="22" t="n">
        <f aca="false">Y11*(1-Premissas!$C$15)+Z9</f>
        <v>77.0585584899948</v>
      </c>
      <c r="AA11" s="22" t="n">
        <f aca="false">Z11*(1-Premissas!$C$15)+AA9</f>
        <v>81.5079131420334</v>
      </c>
      <c r="AB11" s="22" t="n">
        <f aca="false">AA11*(1-Premissas!$C$15)+AB9</f>
        <v>86.0985855822145</v>
      </c>
      <c r="AC11" s="22" t="n">
        <f aca="false">AB11*(1-Premissas!$C$15)+AC9</f>
        <v>90.8404693012763</v>
      </c>
      <c r="AD11" s="22" t="n">
        <f aca="false">AC11*(1-Premissas!$C$15)+AD9</f>
        <v>95.7436909456241</v>
      </c>
      <c r="AE11" s="22" t="n">
        <f aca="false">AD11*(1-Premissas!$C$15)+AE9</f>
        <v>100.81863353242</v>
      </c>
      <c r="AF11" s="22" t="n">
        <f aca="false">AE11*(1-Premissas!$C$15)+AF9</f>
        <v>106.075959945968</v>
      </c>
      <c r="AG11" s="22" t="n">
        <f aca="false">AF11*(1-Premissas!$C$15)+AG9</f>
        <v>111.526636773849</v>
      </c>
      <c r="AH11" s="22" t="n">
        <f aca="false">AG11*(1-Premissas!$C$15)+AH9</f>
        <v>117.181958541167</v>
      </c>
      <c r="AI11" s="22" t="n">
        <f aca="false">AH11*(1-Premissas!$C$15)+AI9</f>
        <v>123.053572401264</v>
      </c>
      <c r="AJ11" s="22" t="n">
        <f aca="false">AI11*(1-Premissas!$C$15)+AJ9</f>
        <v>129.153503341521</v>
      </c>
      <c r="AK11" s="22" t="n">
        <f aca="false">AJ11*(1-Premissas!$C$15)+AK9</f>
        <v>135.494179963157</v>
      </c>
      <c r="AL11" s="22" t="n">
        <f aca="false">AK11*(1-Premissas!$C$15)+AL9</f>
        <v>142.088460894491</v>
      </c>
      <c r="AM11" s="22" t="n">
        <f aca="false">AL11*(1-Premissas!$C$15)+AM9</f>
        <v>148.949661897756</v>
      </c>
      <c r="AN11" s="22" t="n">
        <f aca="false">AM11*(1-Premissas!$C$15)+AN9</f>
        <v>156.091583730386</v>
      </c>
      <c r="AO11" s="22" t="n">
        <f aca="false">AN11*(1-Premissas!$C$15)+AO9</f>
        <v>163.528540822651</v>
      </c>
      <c r="AP11" s="22" t="n">
        <f aca="false">AO11*(1-Premissas!$C$15)+AP9</f>
        <v>171.275390834605</v>
      </c>
      <c r="AQ11" s="22" t="n">
        <f aca="false">AP11*(1-Premissas!$C$15)+AQ9</f>
        <v>179.3475651566</v>
      </c>
      <c r="AR11" s="22" t="n">
        <f aca="false">AQ11*(1-Premissas!$C$15)+AR9</f>
        <v>187.761100419018</v>
      </c>
      <c r="AS11" s="22" t="n">
        <f aca="false">AR11*(1-Premissas!$C$15)+AS9</f>
        <v>196.532671078423</v>
      </c>
      <c r="AT11" s="22" t="n">
        <f aca="false">AS11*(1-Premissas!$C$15)+AT9</f>
        <v>205.679623149069</v>
      </c>
      <c r="AU11" s="22" t="n">
        <f aca="false">AT11*(1-Premissas!$C$15)+AU9</f>
        <v>215.220009150566</v>
      </c>
      <c r="AV11" s="22" t="n">
        <f aca="false">AU11*(1-Premissas!$C$15)+AV9</f>
        <v>225.172624344544</v>
      </c>
      <c r="AW11" s="22" t="n">
        <f aca="false">AV11*(1-Premissas!$C$15)+AW9</f>
        <v>235.557044335318</v>
      </c>
      <c r="AX11" s="22" t="n">
        <f aca="false">AW11*(1-Premissas!$C$15)+AX9</f>
        <v>246.393664111961</v>
      </c>
      <c r="AY11" s="22" t="n">
        <f aca="false">AX11*(1-Premissas!$C$15)+AY9</f>
        <v>257.70373861166</v>
      </c>
      <c r="AZ11" s="22" t="n">
        <f aca="false">AY11*(1-Premissas!$C$15)+AZ9</f>
        <v>269.509424886965</v>
      </c>
      <c r="BA11" s="22" t="n">
        <f aca="false">AZ11*(1-Premissas!$C$15)+BA9</f>
        <v>281.833825962392</v>
      </c>
      <c r="BB11" s="22" t="n">
        <f aca="false">BA11*(1-Premissas!$C$15)+BB9</f>
        <v>294.701036468883</v>
      </c>
      <c r="BC11" s="22" t="n">
        <f aca="false">BB11*(1-Premissas!$C$15)+BC9</f>
        <v>308.136190147875</v>
      </c>
      <c r="BD11" s="22" t="n">
        <f aca="false">BC11*(1-Premissas!$C$15)+BD9</f>
        <v>322.165509320148</v>
      </c>
      <c r="BE11" s="22" t="n">
        <f aca="false">BD11*(1-Premissas!$C$15)+BE9</f>
        <v>336.816356418236</v>
      </c>
      <c r="BF11" s="22" t="n">
        <f aca="false">BE11*(1-Premissas!$C$15)+BF9</f>
        <v>352.117287685018</v>
      </c>
      <c r="BG11" s="22" t="n">
        <f aca="false">BF11*(1-Premissas!$C$15)+BG9</f>
        <v>368.098109145126</v>
      </c>
      <c r="BH11" s="22" t="n">
        <f aca="false">BG11*(1-Premissas!$C$15)+BH9</f>
        <v>384.789934960083</v>
      </c>
      <c r="BI11" s="22" t="n">
        <f aca="false">BH11*(1-Premissas!$C$15)+BI9</f>
        <v>402.202538862478</v>
      </c>
      <c r="BJ11" s="22" t="n">
        <f aca="false">BI11*(1-Premissas!$C$15)+BJ9</f>
        <v>418.570386530729</v>
      </c>
      <c r="BK11" s="22" t="n">
        <f aca="false">BJ11*(1-Premissas!$C$15)+BK9</f>
        <v>433.956163338885</v>
      </c>
    </row>
    <row r="12" customFormat="false" ht="15" hidden="false" customHeight="false" outlineLevel="0" collapsed="false">
      <c r="A12" s="9" t="s">
        <v>150</v>
      </c>
      <c r="B12" s="19" t="s">
        <v>144</v>
      </c>
      <c r="C12" s="22" t="n">
        <v>0</v>
      </c>
      <c r="D12" s="22" t="n">
        <f aca="false">C12*(1-Premissas!$C$15)+D10</f>
        <v>0</v>
      </c>
      <c r="E12" s="22" t="n">
        <f aca="false">D12*(1-Premissas!$C$15)+E10</f>
        <v>0</v>
      </c>
      <c r="F12" s="22" t="n">
        <f aca="false">E12*(1-Premissas!$C$15)+F10</f>
        <v>1.2</v>
      </c>
      <c r="G12" s="22" t="n">
        <f aca="false">F12*(1-Premissas!$C$15)+G10</f>
        <v>2.382</v>
      </c>
      <c r="H12" s="22" t="n">
        <f aca="false">G12*(1-Premissas!$C$15)+H10</f>
        <v>3.54951</v>
      </c>
      <c r="I12" s="22" t="n">
        <f aca="false">H12*(1-Premissas!$C$15)+I10</f>
        <v>4.70593875</v>
      </c>
      <c r="J12" s="22" t="n">
        <f aca="false">I12*(1-Premissas!$C$15)+J10</f>
        <v>5.85460474575</v>
      </c>
      <c r="K12" s="22" t="n">
        <f aca="false">J12*(1-Premissas!$C$15)+K10</f>
        <v>6.99874678618875</v>
      </c>
      <c r="L12" s="22" t="n">
        <f aca="false">K12*(1-Premissas!$C$15)+L10</f>
        <v>8.14153412883444</v>
      </c>
      <c r="M12" s="22" t="n">
        <f aca="false">L12*(1-Premissas!$C$15)+M10</f>
        <v>9.28607627766316</v>
      </c>
      <c r="N12" s="22" t="n">
        <f aca="false">M12*(1-Premissas!$C$15)+N10</f>
        <v>10.4354324364073</v>
      </c>
      <c r="O12" s="22" t="n">
        <f aca="false">N12*(1-Premissas!$C$15)+O10</f>
        <v>11.59262065872</v>
      </c>
      <c r="P12" s="22" t="n">
        <f aca="false">O12*(1-Premissas!$C$15)+P10</f>
        <v>12.7606267252762</v>
      </c>
      <c r="Q12" s="22" t="n">
        <f aca="false">P12*(1-Premissas!$C$15)+Q10</f>
        <v>13.9424127766127</v>
      </c>
      <c r="R12" s="22" t="n">
        <f aca="false">Q12*(1-Premissas!$C$15)+R10</f>
        <v>15.1409257293374</v>
      </c>
      <c r="S12" s="22" t="n">
        <f aca="false">R12*(1-Premissas!$C$15)+S10</f>
        <v>16.3591055022681</v>
      </c>
      <c r="T12" s="22" t="n">
        <f aca="false">S12*(1-Premissas!$C$15)+T10</f>
        <v>17.599893078074</v>
      </c>
      <c r="U12" s="22" t="n">
        <f aca="false">T12*(1-Premissas!$C$15)+U10</f>
        <v>18.8662384250989</v>
      </c>
      <c r="V12" s="22" t="n">
        <f aca="false">U12*(1-Premissas!$C$15)+V10</f>
        <v>20.1611083032293</v>
      </c>
      <c r="W12" s="22" t="n">
        <f aca="false">V12*(1-Premissas!$C$15)+W10</f>
        <v>21.4874939769355</v>
      </c>
      <c r="X12" s="22" t="n">
        <f aca="false">W12*(1-Premissas!$C$15)+X10</f>
        <v>22.8484188579548</v>
      </c>
      <c r="Y12" s="22" t="n">
        <f aca="false">X12*(1-Premissas!$C$15)+Y10</f>
        <v>24.2469460994965</v>
      </c>
      <c r="Z12" s="22" t="n">
        <f aca="false">Y12*(1-Premissas!$C$15)+Z10</f>
        <v>25.6861861633316</v>
      </c>
      <c r="AA12" s="22" t="n">
        <f aca="false">Z12*(1-Premissas!$C$15)+AA10</f>
        <v>27.1693043806778</v>
      </c>
      <c r="AB12" s="22" t="n">
        <f aca="false">AA12*(1-Premissas!$C$15)+AB10</f>
        <v>28.6995285274048</v>
      </c>
      <c r="AC12" s="22" t="n">
        <f aca="false">AB12*(1-Premissas!$C$15)+AC10</f>
        <v>30.2801564337588</v>
      </c>
      <c r="AD12" s="22" t="n">
        <f aca="false">AC12*(1-Premissas!$C$15)+AD10</f>
        <v>31.9145636485414</v>
      </c>
      <c r="AE12" s="22" t="n">
        <f aca="false">AD12*(1-Premissas!$C$15)+AE10</f>
        <v>33.6062111774734</v>
      </c>
      <c r="AF12" s="22" t="n">
        <f aca="false">AE12*(1-Premissas!$C$15)+AF10</f>
        <v>35.3586533153225</v>
      </c>
      <c r="AG12" s="22" t="n">
        <f aca="false">AF12*(1-Premissas!$C$15)+AG10</f>
        <v>37.1755455912831</v>
      </c>
      <c r="AH12" s="22" t="n">
        <f aca="false">AG12*(1-Premissas!$C$15)+AH10</f>
        <v>39.0606528470556</v>
      </c>
      <c r="AI12" s="22" t="n">
        <f aca="false">AH12*(1-Premissas!$C$15)+AI10</f>
        <v>41.017857467088</v>
      </c>
      <c r="AJ12" s="22" t="n">
        <f aca="false">AI12*(1-Premissas!$C$15)+AJ10</f>
        <v>43.0511677805069</v>
      </c>
      <c r="AK12" s="22" t="n">
        <f aca="false">AJ12*(1-Premissas!$C$15)+AK10</f>
        <v>45.1647266543857</v>
      </c>
      <c r="AL12" s="22" t="n">
        <f aca="false">AK12*(1-Premissas!$C$15)+AL10</f>
        <v>47.3628202981637</v>
      </c>
      <c r="AM12" s="22" t="n">
        <f aca="false">AL12*(1-Premissas!$C$15)+AM10</f>
        <v>49.6498872992519</v>
      </c>
      <c r="AN12" s="22" t="n">
        <f aca="false">AM12*(1-Premissas!$C$15)+AN10</f>
        <v>52.0305279101288</v>
      </c>
      <c r="AO12" s="22" t="n">
        <f aca="false">AN12*(1-Premissas!$C$15)+AO10</f>
        <v>54.5095136075505</v>
      </c>
      <c r="AP12" s="22" t="n">
        <f aca="false">AO12*(1-Premissas!$C$15)+AP10</f>
        <v>57.0917969448682</v>
      </c>
      <c r="AQ12" s="22" t="n">
        <f aca="false">AP12*(1-Premissas!$C$15)+AQ10</f>
        <v>59.7825217188666</v>
      </c>
      <c r="AR12" s="22" t="n">
        <f aca="false">AQ12*(1-Premissas!$C$15)+AR10</f>
        <v>62.5870334730061</v>
      </c>
      <c r="AS12" s="22" t="n">
        <f aca="false">AR12*(1-Premissas!$C$15)+AS10</f>
        <v>65.5108903594745</v>
      </c>
      <c r="AT12" s="22" t="n">
        <f aca="false">AS12*(1-Premissas!$C$15)+AT10</f>
        <v>68.5598743830229</v>
      </c>
      <c r="AU12" s="22" t="n">
        <f aca="false">AT12*(1-Premissas!$C$15)+AU10</f>
        <v>71.7400030501887</v>
      </c>
      <c r="AV12" s="22" t="n">
        <f aca="false">AU12*(1-Premissas!$C$15)+AV10</f>
        <v>75.0575414481812</v>
      </c>
      <c r="AW12" s="22" t="n">
        <f aca="false">AV12*(1-Premissas!$C$15)+AW10</f>
        <v>78.5190147784393</v>
      </c>
      <c r="AX12" s="22" t="n">
        <f aca="false">AW12*(1-Premissas!$C$15)+AX10</f>
        <v>82.1312213706537</v>
      </c>
      <c r="AY12" s="22" t="n">
        <f aca="false">AX12*(1-Premissas!$C$15)+AY10</f>
        <v>85.9012462038866</v>
      </c>
      <c r="AZ12" s="22" t="n">
        <f aca="false">AY12*(1-Premissas!$C$15)+AZ10</f>
        <v>89.8364749623217</v>
      </c>
      <c r="BA12" s="22" t="n">
        <f aca="false">AZ12*(1-Premissas!$C$15)+BA10</f>
        <v>93.9446086541309</v>
      </c>
      <c r="BB12" s="22" t="n">
        <f aca="false">BA12*(1-Premissas!$C$15)+BB10</f>
        <v>98.2336788229611</v>
      </c>
      <c r="BC12" s="22" t="n">
        <f aca="false">BB12*(1-Premissas!$C$15)+BC10</f>
        <v>102.712063382625</v>
      </c>
      <c r="BD12" s="22" t="n">
        <f aca="false">BC12*(1-Premissas!$C$15)+BD10</f>
        <v>107.388503106716</v>
      </c>
      <c r="BE12" s="22" t="n">
        <f aca="false">BD12*(1-Premissas!$C$15)+BE10</f>
        <v>112.272118806079</v>
      </c>
      <c r="BF12" s="22" t="n">
        <f aca="false">BE12*(1-Premissas!$C$15)+BF10</f>
        <v>117.372429228339</v>
      </c>
      <c r="BG12" s="22" t="n">
        <f aca="false">BF12*(1-Premissas!$C$15)+BG10</f>
        <v>122.699369715042</v>
      </c>
      <c r="BH12" s="22" t="n">
        <f aca="false">BG12*(1-Premissas!$C$15)+BH10</f>
        <v>128.263311653361</v>
      </c>
      <c r="BI12" s="22" t="n">
        <f aca="false">BH12*(1-Premissas!$C$15)+BI10</f>
        <v>134.067512954159</v>
      </c>
      <c r="BJ12" s="22" t="n">
        <f aca="false">BI12*(1-Premissas!$C$15)+BJ10</f>
        <v>139.52346217691</v>
      </c>
      <c r="BK12" s="22" t="n">
        <f aca="false">BJ12*(1-Premissas!$C$15)+BK10</f>
        <v>144.652054446295</v>
      </c>
    </row>
    <row r="13" customFormat="false" ht="15" hidden="false" customHeight="false" outlineLevel="0" collapsed="false">
      <c r="A13" s="13" t="s">
        <v>151</v>
      </c>
      <c r="B13" s="19" t="s">
        <v>144</v>
      </c>
      <c r="C13" s="23" t="n">
        <v>0</v>
      </c>
      <c r="D13" s="23" t="n">
        <f aca="false">D11+D12</f>
        <v>0</v>
      </c>
      <c r="E13" s="23" t="n">
        <f aca="false">E11+E12</f>
        <v>0</v>
      </c>
      <c r="F13" s="23" t="n">
        <f aca="false">F11+F12</f>
        <v>4.8</v>
      </c>
      <c r="G13" s="23" t="n">
        <f aca="false">G11+G12</f>
        <v>9.528</v>
      </c>
      <c r="H13" s="23" t="n">
        <f aca="false">H11+H12</f>
        <v>14.19804</v>
      </c>
      <c r="I13" s="23" t="n">
        <f aca="false">I11+I12</f>
        <v>18.823755</v>
      </c>
      <c r="J13" s="23" t="n">
        <f aca="false">J11+J12</f>
        <v>23.418418983</v>
      </c>
      <c r="K13" s="23" t="n">
        <f aca="false">K11+K12</f>
        <v>27.994987144755</v>
      </c>
      <c r="L13" s="23" t="n">
        <f aca="false">L11+L12</f>
        <v>32.5661365153378</v>
      </c>
      <c r="M13" s="23" t="n">
        <f aca="false">M11+M12</f>
        <v>37.1443051106526</v>
      </c>
      <c r="N13" s="23" t="n">
        <f aca="false">N11+N12</f>
        <v>41.7417297456292</v>
      </c>
      <c r="O13" s="23" t="n">
        <f aca="false">O11+O12</f>
        <v>46.3704826348799</v>
      </c>
      <c r="P13" s="23" t="n">
        <f aca="false">P11+P12</f>
        <v>51.042506901105</v>
      </c>
      <c r="Q13" s="23" t="n">
        <f aca="false">Q11+Q12</f>
        <v>55.7696511064509</v>
      </c>
      <c r="R13" s="23" t="n">
        <f aca="false">R11+R12</f>
        <v>60.5637029173496</v>
      </c>
      <c r="S13" s="23" t="n">
        <f aca="false">S11+S12</f>
        <v>65.4364220090722</v>
      </c>
      <c r="T13" s="23" t="n">
        <f aca="false">T11+T12</f>
        <v>70.3995723122959</v>
      </c>
      <c r="U13" s="23" t="n">
        <f aca="false">U11+U12</f>
        <v>75.4649537003956</v>
      </c>
      <c r="V13" s="23" t="n">
        <f aca="false">V11+V12</f>
        <v>80.6444332129171</v>
      </c>
      <c r="W13" s="23" t="n">
        <f aca="false">W11+W12</f>
        <v>85.9499759077418</v>
      </c>
      <c r="X13" s="23" t="n">
        <f aca="false">X11+X12</f>
        <v>91.3936754318191</v>
      </c>
      <c r="Y13" s="23" t="n">
        <f aca="false">Y11+Y12</f>
        <v>96.987784397986</v>
      </c>
      <c r="Z13" s="23" t="n">
        <f aca="false">Z11+Z12</f>
        <v>102.744744653326</v>
      </c>
      <c r="AA13" s="23" t="n">
        <f aca="false">AA11+AA12</f>
        <v>108.677217522711</v>
      </c>
      <c r="AB13" s="23" t="n">
        <f aca="false">AB11+AB12</f>
        <v>114.798114109619</v>
      </c>
      <c r="AC13" s="23" t="n">
        <f aca="false">AC11+AC12</f>
        <v>121.120625735035</v>
      </c>
      <c r="AD13" s="23" t="n">
        <f aca="false">AD11+AD12</f>
        <v>127.658254594166</v>
      </c>
      <c r="AE13" s="23" t="n">
        <f aca="false">AE11+AE12</f>
        <v>134.424844709894</v>
      </c>
      <c r="AF13" s="23" t="n">
        <f aca="false">AF11+AF12</f>
        <v>141.43461326129</v>
      </c>
      <c r="AG13" s="23" t="n">
        <f aca="false">AG11+AG12</f>
        <v>148.702182365132</v>
      </c>
      <c r="AH13" s="23" t="n">
        <f aca="false">AH11+AH12</f>
        <v>156.242611388222</v>
      </c>
      <c r="AI13" s="23" t="n">
        <f aca="false">AI11+AI12</f>
        <v>164.071429868352</v>
      </c>
      <c r="AJ13" s="23" t="n">
        <f aca="false">AJ11+AJ12</f>
        <v>172.204671122028</v>
      </c>
      <c r="AK13" s="23" t="n">
        <f aca="false">AK11+AK12</f>
        <v>180.658906617543</v>
      </c>
      <c r="AL13" s="23" t="n">
        <f aca="false">AL11+AL12</f>
        <v>189.451281192655</v>
      </c>
      <c r="AM13" s="23" t="n">
        <f aca="false">AM11+AM12</f>
        <v>198.599549197008</v>
      </c>
      <c r="AN13" s="23" t="n">
        <f aca="false">AN11+AN12</f>
        <v>208.122111640515</v>
      </c>
      <c r="AO13" s="23" t="n">
        <f aca="false">AO11+AO12</f>
        <v>218.038054430202</v>
      </c>
      <c r="AP13" s="23" t="n">
        <f aca="false">AP11+AP12</f>
        <v>228.367187779473</v>
      </c>
      <c r="AQ13" s="23" t="n">
        <f aca="false">AQ11+AQ12</f>
        <v>239.130086875466</v>
      </c>
      <c r="AR13" s="23" t="n">
        <f aca="false">AR11+AR12</f>
        <v>250.348133892024</v>
      </c>
      <c r="AS13" s="23" t="n">
        <f aca="false">AS11+AS12</f>
        <v>262.043561437898</v>
      </c>
      <c r="AT13" s="23" t="n">
        <f aca="false">AT11+AT12</f>
        <v>274.239497532092</v>
      </c>
      <c r="AU13" s="23" t="n">
        <f aca="false">AU11+AU12</f>
        <v>286.960012200755</v>
      </c>
      <c r="AV13" s="23" t="n">
        <f aca="false">AV11+AV12</f>
        <v>300.230165792725</v>
      </c>
      <c r="AW13" s="23" t="n">
        <f aca="false">AW11+AW12</f>
        <v>314.076059113757</v>
      </c>
      <c r="AX13" s="23" t="n">
        <f aca="false">AX11+AX12</f>
        <v>328.524885482615</v>
      </c>
      <c r="AY13" s="23" t="n">
        <f aca="false">AY11+AY12</f>
        <v>343.604984815546</v>
      </c>
      <c r="AZ13" s="23" t="n">
        <f aca="false">AZ11+AZ12</f>
        <v>359.345899849287</v>
      </c>
      <c r="BA13" s="23" t="n">
        <f aca="false">BA11+BA12</f>
        <v>375.778434616523</v>
      </c>
      <c r="BB13" s="23" t="n">
        <f aca="false">BB11+BB12</f>
        <v>392.934715291844</v>
      </c>
      <c r="BC13" s="23" t="n">
        <f aca="false">BC11+BC12</f>
        <v>410.8482535305</v>
      </c>
      <c r="BD13" s="23" t="n">
        <f aca="false">BD11+BD12</f>
        <v>429.554012426864</v>
      </c>
      <c r="BE13" s="23" t="n">
        <f aca="false">BE11+BE12</f>
        <v>449.088475224315</v>
      </c>
      <c r="BF13" s="23" t="n">
        <f aca="false">BF11+BF12</f>
        <v>469.489716913357</v>
      </c>
      <c r="BG13" s="23" t="n">
        <f aca="false">BG11+BG12</f>
        <v>490.797478860168</v>
      </c>
      <c r="BH13" s="23" t="n">
        <f aca="false">BH11+BH12</f>
        <v>513.053246613444</v>
      </c>
      <c r="BI13" s="23" t="n">
        <f aca="false">BI11+BI12</f>
        <v>536.270051816637</v>
      </c>
      <c r="BJ13" s="23" t="n">
        <f aca="false">BJ11+BJ12</f>
        <v>558.093848707639</v>
      </c>
      <c r="BK13" s="23" t="n">
        <f aca="false">BK11+BK12</f>
        <v>578.608217785181</v>
      </c>
    </row>
    <row r="14" customFormat="false" ht="15" hidden="false" customHeight="false" outlineLevel="0" collapsed="false">
      <c r="A14" s="13" t="s">
        <v>152</v>
      </c>
      <c r="B14" s="19" t="s">
        <v>144</v>
      </c>
      <c r="C14" s="23" t="n">
        <v>0</v>
      </c>
      <c r="D14" s="23" t="n">
        <f aca="false">D8+D13</f>
        <v>80</v>
      </c>
      <c r="E14" s="23" t="n">
        <f aca="false">E8+E13</f>
        <v>154</v>
      </c>
      <c r="F14" s="23" t="n">
        <f aca="false">F8+F13</f>
        <v>222.882</v>
      </c>
      <c r="G14" s="23" t="n">
        <f aca="false">G8+G13</f>
        <v>287.71745</v>
      </c>
      <c r="H14" s="23" t="n">
        <f aca="false">H8+H13</f>
        <v>349.16452405</v>
      </c>
      <c r="I14" s="23" t="n">
        <f aca="false">I8+I13</f>
        <v>407.81121857625</v>
      </c>
      <c r="J14" s="23" t="n">
        <f aca="false">J8+J13</f>
        <v>464.184107634901</v>
      </c>
      <c r="K14" s="23" t="n">
        <f aca="false">K8+K13</f>
        <v>518.756066294945</v>
      </c>
      <c r="L14" s="23" t="n">
        <f aca="false">L8+L13</f>
        <v>571.953086595166</v>
      </c>
      <c r="M14" s="23" t="n">
        <f aca="false">M8+M13</f>
        <v>624.160295627807</v>
      </c>
      <c r="N14" s="23" t="n">
        <f aca="false">N8+N13</f>
        <v>675.727272197741</v>
      </c>
      <c r="O14" s="23" t="n">
        <f aca="false">O8+O13</f>
        <v>726.97274697562</v>
      </c>
      <c r="P14" s="23" t="n">
        <f aca="false">P8+P13</f>
        <v>778.188760918068</v>
      </c>
      <c r="Q14" s="23" t="n">
        <f aca="false">Q8+Q13</f>
        <v>829.644347801359</v>
      </c>
      <c r="R14" s="23" t="n">
        <f aca="false">R8+R13</f>
        <v>881.58879886105</v>
      </c>
      <c r="S14" s="23" t="n">
        <f aca="false">S8+S13</f>
        <v>934.254560620057</v>
      </c>
      <c r="T14" s="23" t="n">
        <f aca="false">T8+T13</f>
        <v>987.859810908615</v>
      </c>
      <c r="U14" s="23" t="n">
        <f aca="false">U8+U13</f>
        <v>1042.61075273165</v>
      </c>
      <c r="V14" s="23" t="n">
        <f aca="false">V8+V13</f>
        <v>1098.7036609349</v>
      </c>
      <c r="W14" s="23" t="n">
        <f aca="false">W8+W13</f>
        <v>1156.32671248343</v>
      </c>
      <c r="X14" s="23" t="n">
        <f aca="false">X8+X13</f>
        <v>1215.66162752687</v>
      </c>
      <c r="Y14" s="23" t="n">
        <f aca="false">Y8+Y13</f>
        <v>1276.88514522596</v>
      </c>
      <c r="Z14" s="23" t="n">
        <f aca="false">Z8+Z13</f>
        <v>1340.17035550057</v>
      </c>
      <c r="AA14" s="23" t="n">
        <f aca="false">AA8+AA13</f>
        <v>1405.68790538625</v>
      </c>
      <c r="AB14" s="23" t="n">
        <f aca="false">AB8+AB13</f>
        <v>1473.60709651181</v>
      </c>
      <c r="AC14" s="23" t="n">
        <f aca="false">AC8+AC13</f>
        <v>1544.09688829993</v>
      </c>
      <c r="AD14" s="23" t="n">
        <f aca="false">AD8+AD13</f>
        <v>1617.32681981455</v>
      </c>
      <c r="AE14" s="23" t="n">
        <f aca="false">AE8+AE13</f>
        <v>1693.46786170444</v>
      </c>
      <c r="AF14" s="23" t="n">
        <f aca="false">AF8+AF13</f>
        <v>1772.69320839914</v>
      </c>
      <c r="AG14" s="23" t="n">
        <f aca="false">AG8+AG13</f>
        <v>1855.1790195773</v>
      </c>
      <c r="AH14" s="23" t="n">
        <f aca="false">AH8+AH13</f>
        <v>1941.10511893288</v>
      </c>
      <c r="AI14" s="23" t="n">
        <f aca="false">AI8+AI13</f>
        <v>2030.65565739151</v>
      </c>
      <c r="AJ14" s="23" t="n">
        <f aca="false">AJ8+AJ13</f>
        <v>2124.01974716604</v>
      </c>
      <c r="AK14" s="23" t="n">
        <f aca="false">AK8+AK13</f>
        <v>2221.39207237197</v>
      </c>
      <c r="AL14" s="23" t="n">
        <f aca="false">AL8+AL13</f>
        <v>2322.97348133985</v>
      </c>
      <c r="AM14" s="23" t="n">
        <f aca="false">AM8+AM13</f>
        <v>2428.97156525259</v>
      </c>
      <c r="AN14" s="23" t="n">
        <f aca="false">AN8+AN13</f>
        <v>2539.60122729215</v>
      </c>
      <c r="AO14" s="23" t="n">
        <f aca="false">AO8+AO13</f>
        <v>2655.08524609489</v>
      </c>
      <c r="AP14" s="23" t="n">
        <f aca="false">AP8+AP13</f>
        <v>2775.65483698075</v>
      </c>
      <c r="AQ14" s="23" t="n">
        <f aca="false">AQ8+AQ13</f>
        <v>2901.55021413308</v>
      </c>
      <c r="AR14" s="23" t="n">
        <f aca="false">AR8+AR13</f>
        <v>3033.02115665743</v>
      </c>
      <c r="AS14" s="23" t="n">
        <f aca="false">AS8+AS13</f>
        <v>3170.32758123521</v>
      </c>
      <c r="AT14" s="23" t="n">
        <f aca="false">AT8+AT13</f>
        <v>3313.74012390684</v>
      </c>
      <c r="AU14" s="23" t="n">
        <f aca="false">AU8+AU13</f>
        <v>3463.54073336655</v>
      </c>
      <c r="AV14" s="23" t="n">
        <f aca="false">AV8+AV13</f>
        <v>3620.02327802265</v>
      </c>
      <c r="AW14" s="23" t="n">
        <f aca="false">AW8+AW13</f>
        <v>3783.4941689723</v>
      </c>
      <c r="AX14" s="23" t="n">
        <f aca="false">AX8+AX13</f>
        <v>3954.27300095368</v>
      </c>
      <c r="AY14" s="23" t="n">
        <f aca="false">AY8+AY13</f>
        <v>4132.69321327142</v>
      </c>
      <c r="AZ14" s="23" t="n">
        <f aca="false">AZ8+AZ13</f>
        <v>4319.10277263966</v>
      </c>
      <c r="BA14" s="23" t="n">
        <f aca="false">BA8+BA13</f>
        <v>4513.86487984997</v>
      </c>
      <c r="BB14" s="23" t="n">
        <f aca="false">BB8+BB13</f>
        <v>4717.35870214819</v>
      </c>
      <c r="BC14" s="23" t="n">
        <f aca="false">BC8+BC13</f>
        <v>4929.9801331923</v>
      </c>
      <c r="BD14" s="23" t="n">
        <f aca="false">BD8+BD13</f>
        <v>5152.14258246273</v>
      </c>
      <c r="BE14" s="23" t="n">
        <f aca="false">BE8+BE13</f>
        <v>5384.27779600637</v>
      </c>
      <c r="BF14" s="23" t="n">
        <f aca="false">BF8+BF13</f>
        <v>5626.83671041382</v>
      </c>
      <c r="BG14" s="23" t="n">
        <f aca="false">BG8+BG13</f>
        <v>5879.78568817897</v>
      </c>
      <c r="BH14" s="23" t="n">
        <f aca="false">BH8+BH13</f>
        <v>6103.6592543291</v>
      </c>
      <c r="BI14" s="23" t="n">
        <f aca="false">BI8+BI13</f>
        <v>6302.00333860642</v>
      </c>
      <c r="BJ14" s="23" t="n">
        <f aca="false">BJ8+BJ13</f>
        <v>6477.93914108264</v>
      </c>
      <c r="BK14" s="23" t="n">
        <f aca="false">BK8+BK13</f>
        <v>6634.07207507518</v>
      </c>
    </row>
    <row r="16" customFormat="false" ht="15" hidden="false" customHeight="false" outlineLevel="0" collapsed="false">
      <c r="A16" s="12" t="s">
        <v>153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</row>
    <row r="17" customFormat="false" ht="15" hidden="false" customHeight="false" outlineLevel="0" collapsed="false">
      <c r="A17" s="9" t="s">
        <v>154</v>
      </c>
      <c r="B17" s="19" t="s">
        <v>155</v>
      </c>
      <c r="C17" s="22" t="n">
        <v>0</v>
      </c>
      <c r="D17" s="22" t="n">
        <f aca="false">D11*Premissas!$C$5</f>
        <v>0</v>
      </c>
      <c r="E17" s="22" t="n">
        <f aca="false">E11*Premissas!$C$5</f>
        <v>0</v>
      </c>
      <c r="F17" s="22" t="n">
        <f aca="false">F11*Premissas!$C$5</f>
        <v>716.4</v>
      </c>
      <c r="G17" s="22" t="n">
        <f aca="false">G11*Premissas!$C$5</f>
        <v>1422.054</v>
      </c>
      <c r="H17" s="22" t="n">
        <f aca="false">H11*Premissas!$C$5</f>
        <v>2119.05747</v>
      </c>
      <c r="I17" s="22" t="n">
        <f aca="false">I11*Premissas!$C$5</f>
        <v>2809.44543375</v>
      </c>
      <c r="J17" s="22" t="n">
        <f aca="false">J11*Premissas!$C$5</f>
        <v>3495.19903321275</v>
      </c>
      <c r="K17" s="22" t="n">
        <f aca="false">K11*Premissas!$C$5</f>
        <v>4178.25183135468</v>
      </c>
      <c r="L17" s="22" t="n">
        <f aca="false">L11*Premissas!$C$5</f>
        <v>4860.49587491416</v>
      </c>
      <c r="M17" s="22" t="n">
        <f aca="false">M11*Premissas!$C$5</f>
        <v>5543.78753776491</v>
      </c>
      <c r="N17" s="22" t="n">
        <f aca="false">N11*Premissas!$C$5</f>
        <v>6229.95316453516</v>
      </c>
      <c r="O17" s="22" t="n">
        <f aca="false">O11*Premissas!$C$5</f>
        <v>6920.79453325582</v>
      </c>
      <c r="P17" s="22" t="n">
        <f aca="false">P11*Premissas!$C$5</f>
        <v>7618.09415498992</v>
      </c>
      <c r="Q17" s="22" t="n">
        <f aca="false">Q11*Premissas!$C$5</f>
        <v>8323.62042763779</v>
      </c>
      <c r="R17" s="22" t="n">
        <f aca="false">R11*Premissas!$C$5</f>
        <v>9039.13266041442</v>
      </c>
      <c r="S17" s="22" t="n">
        <f aca="false">S11*Premissas!$C$5</f>
        <v>9766.38598485403</v>
      </c>
      <c r="T17" s="22" t="n">
        <f aca="false">T11*Premissas!$C$5</f>
        <v>10507.1361676102</v>
      </c>
      <c r="U17" s="22" t="n">
        <f aca="false">U11*Premissas!$C$5</f>
        <v>11263.144339784</v>
      </c>
      <c r="V17" s="22" t="n">
        <f aca="false">V11*Premissas!$C$5</f>
        <v>12036.1816570279</v>
      </c>
      <c r="W17" s="22" t="n">
        <f aca="false">W11*Premissas!$C$5</f>
        <v>12828.0339042305</v>
      </c>
      <c r="X17" s="22" t="n">
        <f aca="false">X11*Premissas!$C$5</f>
        <v>13640.506058199</v>
      </c>
      <c r="Y17" s="22" t="n">
        <f aca="false">Y11*Premissas!$C$5</f>
        <v>14475.4268213994</v>
      </c>
      <c r="Z17" s="22" t="n">
        <f aca="false">Z11*Premissas!$C$5</f>
        <v>15334.653139509</v>
      </c>
      <c r="AA17" s="22" t="n">
        <f aca="false">AA11*Premissas!$C$5</f>
        <v>16220.0747152647</v>
      </c>
      <c r="AB17" s="22" t="n">
        <f aca="false">AB11*Premissas!$C$5</f>
        <v>17133.6185308607</v>
      </c>
      <c r="AC17" s="22" t="n">
        <f aca="false">AC11*Premissas!$C$5</f>
        <v>18077.253390954</v>
      </c>
      <c r="AD17" s="22" t="n">
        <f aca="false">AD11*Premissas!$C$5</f>
        <v>19052.9944981792</v>
      </c>
      <c r="AE17" s="22" t="n">
        <f aca="false">AE11*Premissas!$C$5</f>
        <v>20062.9080729516</v>
      </c>
      <c r="AF17" s="22" t="n">
        <f aca="false">AF11*Premissas!$C$5</f>
        <v>21109.1160292475</v>
      </c>
      <c r="AG17" s="22" t="n">
        <f aca="false">AG11*Premissas!$C$5</f>
        <v>22193.800717996</v>
      </c>
      <c r="AH17" s="22" t="n">
        <f aca="false">AH11*Premissas!$C$5</f>
        <v>23319.2097496922</v>
      </c>
      <c r="AI17" s="22" t="n">
        <f aca="false">AI11*Premissas!$C$5</f>
        <v>24487.6609078515</v>
      </c>
      <c r="AJ17" s="22" t="n">
        <f aca="false">AJ11*Premissas!$C$5</f>
        <v>25701.5471649626</v>
      </c>
      <c r="AK17" s="22" t="n">
        <f aca="false">AK11*Premissas!$C$5</f>
        <v>26963.3418126683</v>
      </c>
      <c r="AL17" s="22" t="n">
        <f aca="false">AL11*Premissas!$C$5</f>
        <v>28275.6037180037</v>
      </c>
      <c r="AM17" s="22" t="n">
        <f aca="false">AM11*Premissas!$C$5</f>
        <v>29640.9827176534</v>
      </c>
      <c r="AN17" s="22" t="n">
        <f aca="false">AN11*Premissas!$C$5</f>
        <v>31062.2251623469</v>
      </c>
      <c r="AO17" s="22" t="n">
        <f aca="false">AO11*Premissas!$C$5</f>
        <v>32542.1796237076</v>
      </c>
      <c r="AP17" s="22" t="n">
        <f aca="false">AP11*Premissas!$C$5</f>
        <v>34083.8027760863</v>
      </c>
      <c r="AQ17" s="22" t="n">
        <f aca="false">AQ11*Premissas!$C$5</f>
        <v>35690.1654661633</v>
      </c>
      <c r="AR17" s="22" t="n">
        <f aca="false">AR11*Premissas!$C$5</f>
        <v>37364.4589833846</v>
      </c>
      <c r="AS17" s="22" t="n">
        <f aca="false">AS11*Premissas!$C$5</f>
        <v>39110.0015446062</v>
      </c>
      <c r="AT17" s="22" t="n">
        <f aca="false">AT11*Premissas!$C$5</f>
        <v>40930.2450066647</v>
      </c>
      <c r="AU17" s="22" t="n">
        <f aca="false">AU11*Premissas!$C$5</f>
        <v>42828.7818209627</v>
      </c>
      <c r="AV17" s="22" t="n">
        <f aca="false">AV11*Premissas!$C$5</f>
        <v>44809.3522445642</v>
      </c>
      <c r="AW17" s="22" t="n">
        <f aca="false">AW11*Premissas!$C$5</f>
        <v>46875.8518227283</v>
      </c>
      <c r="AX17" s="22" t="n">
        <f aca="false">AX11*Premissas!$C$5</f>
        <v>49032.3391582802</v>
      </c>
      <c r="AY17" s="22" t="n">
        <f aca="false">AY11*Premissas!$C$5</f>
        <v>51283.0439837203</v>
      </c>
      <c r="AZ17" s="22" t="n">
        <f aca="false">AZ11*Premissas!$C$5</f>
        <v>53632.3755525061</v>
      </c>
      <c r="BA17" s="22" t="n">
        <f aca="false">BA11*Premissas!$C$5</f>
        <v>56084.9313665161</v>
      </c>
      <c r="BB17" s="22" t="n">
        <f aca="false">BB11*Premissas!$C$5</f>
        <v>58645.5062573078</v>
      </c>
      <c r="BC17" s="22" t="n">
        <f aca="false">BC11*Premissas!$C$5</f>
        <v>61319.1018394272</v>
      </c>
      <c r="BD17" s="22" t="n">
        <f aca="false">BD11*Premissas!$C$5</f>
        <v>64110.9363547095</v>
      </c>
      <c r="BE17" s="22" t="n">
        <f aca="false">BE11*Premissas!$C$5</f>
        <v>67026.454927229</v>
      </c>
      <c r="BF17" s="22" t="n">
        <f aca="false">BF11*Premissas!$C$5</f>
        <v>70071.3402493185</v>
      </c>
      <c r="BG17" s="22" t="n">
        <f aca="false">BG11*Premissas!$C$5</f>
        <v>73251.5237198801</v>
      </c>
      <c r="BH17" s="22" t="n">
        <f aca="false">BH11*Premissas!$C$5</f>
        <v>76573.1970570565</v>
      </c>
      <c r="BI17" s="22" t="n">
        <f aca="false">BI11*Premissas!$C$5</f>
        <v>80038.3052336331</v>
      </c>
      <c r="BJ17" s="22" t="n">
        <f aca="false">BJ11*Premissas!$C$5</f>
        <v>83295.5069196151</v>
      </c>
      <c r="BK17" s="22" t="n">
        <f aca="false">BK11*Premissas!$C$5</f>
        <v>86357.2765044382</v>
      </c>
    </row>
    <row r="18" customFormat="false" ht="15" hidden="false" customHeight="false" outlineLevel="0" collapsed="false">
      <c r="A18" s="9" t="s">
        <v>156</v>
      </c>
      <c r="B18" s="19" t="s">
        <v>155</v>
      </c>
      <c r="C18" s="22" t="n">
        <v>0</v>
      </c>
      <c r="D18" s="22" t="n">
        <f aca="false">D12*Premissas!$C$6</f>
        <v>0</v>
      </c>
      <c r="E18" s="22" t="n">
        <f aca="false">E12*Premissas!$C$6</f>
        <v>0</v>
      </c>
      <c r="F18" s="22" t="n">
        <f aca="false">F12*Premissas!$C$6</f>
        <v>478.8</v>
      </c>
      <c r="G18" s="22" t="n">
        <f aca="false">G12*Premissas!$C$6</f>
        <v>950.418</v>
      </c>
      <c r="H18" s="22" t="n">
        <f aca="false">H12*Premissas!$C$6</f>
        <v>1416.25449</v>
      </c>
      <c r="I18" s="22" t="n">
        <f aca="false">I12*Premissas!$C$6</f>
        <v>1877.66956125</v>
      </c>
      <c r="J18" s="22" t="n">
        <f aca="false">J12*Premissas!$C$6</f>
        <v>2335.98729355425</v>
      </c>
      <c r="K18" s="22" t="n">
        <f aca="false">K12*Premissas!$C$6</f>
        <v>2792.49996768931</v>
      </c>
      <c r="L18" s="22" t="n">
        <f aca="false">L12*Premissas!$C$6</f>
        <v>3248.47211740494</v>
      </c>
      <c r="M18" s="22" t="n">
        <f aca="false">M12*Premissas!$C$6</f>
        <v>3705.1444347876</v>
      </c>
      <c r="N18" s="22" t="n">
        <f aca="false">N12*Premissas!$C$6</f>
        <v>4163.73754212651</v>
      </c>
      <c r="O18" s="22" t="n">
        <f aca="false">O12*Premissas!$C$6</f>
        <v>4625.45564282927</v>
      </c>
      <c r="P18" s="22" t="n">
        <f aca="false">P12*Premissas!$C$6</f>
        <v>5091.49006338522</v>
      </c>
      <c r="Q18" s="22" t="n">
        <f aca="false">Q12*Premissas!$C$6</f>
        <v>5563.02269786848</v>
      </c>
      <c r="R18" s="22" t="n">
        <f aca="false">R12*Premissas!$C$6</f>
        <v>6041.22936600562</v>
      </c>
      <c r="S18" s="22" t="n">
        <f aca="false">S12*Premissas!$C$6</f>
        <v>6527.28309540495</v>
      </c>
      <c r="T18" s="22" t="n">
        <f aca="false">T12*Premissas!$C$6</f>
        <v>7022.35733815151</v>
      </c>
      <c r="U18" s="22" t="n">
        <f aca="false">U12*Premissas!$C$6</f>
        <v>7527.62913161446</v>
      </c>
      <c r="V18" s="22" t="n">
        <f aca="false">V12*Premissas!$C$6</f>
        <v>8044.28221298848</v>
      </c>
      <c r="W18" s="22" t="n">
        <f aca="false">W12*Premissas!$C$6</f>
        <v>8573.51009679725</v>
      </c>
      <c r="X18" s="22" t="n">
        <f aca="false">X12*Premissas!$C$6</f>
        <v>9116.51912432395</v>
      </c>
      <c r="Y18" s="22" t="n">
        <f aca="false">Y12*Premissas!$C$6</f>
        <v>9674.53149369911</v>
      </c>
      <c r="Z18" s="22" t="n">
        <f aca="false">Z12*Premissas!$C$6</f>
        <v>10248.7882791693</v>
      </c>
      <c r="AA18" s="22" t="n">
        <f aca="false">AA12*Premissas!$C$6</f>
        <v>10840.5524478904</v>
      </c>
      <c r="AB18" s="22" t="n">
        <f aca="false">AB12*Premissas!$C$6</f>
        <v>11451.1118824345</v>
      </c>
      <c r="AC18" s="22" t="n">
        <f aca="false">AC12*Premissas!$C$6</f>
        <v>12081.7824170697</v>
      </c>
      <c r="AD18" s="22" t="n">
        <f aca="false">AD12*Premissas!$C$6</f>
        <v>12733.910895768</v>
      </c>
      <c r="AE18" s="22" t="n">
        <f aca="false">AE12*Premissas!$C$6</f>
        <v>13408.8782598119</v>
      </c>
      <c r="AF18" s="22" t="n">
        <f aca="false">AF12*Premissas!$C$6</f>
        <v>14108.1026728137</v>
      </c>
      <c r="AG18" s="22" t="n">
        <f aca="false">AG12*Premissas!$C$6</f>
        <v>14833.0426909219</v>
      </c>
      <c r="AH18" s="22" t="n">
        <f aca="false">AH12*Premissas!$C$6</f>
        <v>15585.2004859752</v>
      </c>
      <c r="AI18" s="22" t="n">
        <f aca="false">AI12*Premissas!$C$6</f>
        <v>16366.1251293681</v>
      </c>
      <c r="AJ18" s="22" t="n">
        <f aca="false">AJ12*Premissas!$C$6</f>
        <v>17177.4159444223</v>
      </c>
      <c r="AK18" s="22" t="n">
        <f aca="false">AK12*Premissas!$C$6</f>
        <v>18020.7259350999</v>
      </c>
      <c r="AL18" s="22" t="n">
        <f aca="false">AL12*Premissas!$C$6</f>
        <v>18897.7652989673</v>
      </c>
      <c r="AM18" s="22" t="n">
        <f aca="false">AM12*Premissas!$C$6</f>
        <v>19810.3050324015</v>
      </c>
      <c r="AN18" s="22" t="n">
        <f aca="false">AN12*Premissas!$C$6</f>
        <v>20760.1806361414</v>
      </c>
      <c r="AO18" s="22" t="n">
        <f aca="false">AO12*Premissas!$C$6</f>
        <v>21749.2959294127</v>
      </c>
      <c r="AP18" s="22" t="n">
        <f aca="false">AP12*Premissas!$C$6</f>
        <v>22779.6269810024</v>
      </c>
      <c r="AQ18" s="22" t="n">
        <f aca="false">AQ12*Premissas!$C$6</f>
        <v>23853.2261658278</v>
      </c>
      <c r="AR18" s="22" t="n">
        <f aca="false">AR12*Premissas!$C$6</f>
        <v>24972.2263557294</v>
      </c>
      <c r="AS18" s="22" t="n">
        <f aca="false">AS12*Premissas!$C$6</f>
        <v>26138.8452534303</v>
      </c>
      <c r="AT18" s="22" t="n">
        <f aca="false">AT12*Premissas!$C$6</f>
        <v>27355.3898788261</v>
      </c>
      <c r="AU18" s="22" t="n">
        <f aca="false">AU12*Premissas!$C$6</f>
        <v>28624.2612170253</v>
      </c>
      <c r="AV18" s="22" t="n">
        <f aca="false">AV12*Premissas!$C$6</f>
        <v>29947.9590378243</v>
      </c>
      <c r="AW18" s="22" t="n">
        <f aca="false">AW12*Premissas!$C$6</f>
        <v>31329.0868965973</v>
      </c>
      <c r="AX18" s="22" t="n">
        <f aca="false">AX12*Premissas!$C$6</f>
        <v>32770.3573268908</v>
      </c>
      <c r="AY18" s="22" t="n">
        <f aca="false">AY12*Premissas!$C$6</f>
        <v>34274.5972353507</v>
      </c>
      <c r="AZ18" s="22" t="n">
        <f aca="false">AZ12*Premissas!$C$6</f>
        <v>35844.7535099664</v>
      </c>
      <c r="BA18" s="22" t="n">
        <f aca="false">BA12*Premissas!$C$6</f>
        <v>37483.8988529982</v>
      </c>
      <c r="BB18" s="22" t="n">
        <f aca="false">BB12*Premissas!$C$6</f>
        <v>39195.2378503615</v>
      </c>
      <c r="BC18" s="22" t="n">
        <f aca="false">BC12*Premissas!$C$6</f>
        <v>40982.1132896674</v>
      </c>
      <c r="BD18" s="22" t="n">
        <f aca="false">BD12*Premissas!$C$6</f>
        <v>42848.0127395797</v>
      </c>
      <c r="BE18" s="22" t="n">
        <f aca="false">BE12*Premissas!$C$6</f>
        <v>44796.5754036254</v>
      </c>
      <c r="BF18" s="22" t="n">
        <f aca="false">BF12*Premissas!$C$6</f>
        <v>46831.5992621073</v>
      </c>
      <c r="BG18" s="22" t="n">
        <f aca="false">BG12*Premissas!$C$6</f>
        <v>48957.0485163018</v>
      </c>
      <c r="BH18" s="22" t="n">
        <f aca="false">BH12*Premissas!$C$6</f>
        <v>51177.061349691</v>
      </c>
      <c r="BI18" s="22" t="n">
        <f aca="false">BI12*Premissas!$C$6</f>
        <v>53492.9376687096</v>
      </c>
      <c r="BJ18" s="22" t="n">
        <f aca="false">BJ12*Premissas!$C$6</f>
        <v>55669.861408587</v>
      </c>
      <c r="BK18" s="22" t="n">
        <f aca="false">BK12*Premissas!$C$6</f>
        <v>57716.1697240718</v>
      </c>
    </row>
    <row r="19" customFormat="false" ht="15" hidden="false" customHeight="false" outlineLevel="0" collapsed="false">
      <c r="A19" s="9" t="s">
        <v>157</v>
      </c>
      <c r="B19" s="19" t="s">
        <v>158</v>
      </c>
      <c r="C19" s="24" t="n">
        <v>0</v>
      </c>
      <c r="D19" s="24" t="n">
        <f aca="false">D13*Premissas!$C$18</f>
        <v>0</v>
      </c>
      <c r="E19" s="24" t="n">
        <f aca="false">E13*Premissas!$C$18</f>
        <v>0</v>
      </c>
      <c r="F19" s="24" t="n">
        <f aca="false">F13*Premissas!$C$18</f>
        <v>24</v>
      </c>
      <c r="G19" s="24" t="n">
        <f aca="false">G13*Premissas!$C$18</f>
        <v>47.64</v>
      </c>
      <c r="H19" s="24" t="n">
        <f aca="false">H13*Premissas!$C$18</f>
        <v>70.9902</v>
      </c>
      <c r="I19" s="24" t="n">
        <f aca="false">I13*Premissas!$C$18</f>
        <v>94.118775</v>
      </c>
      <c r="J19" s="24" t="n">
        <f aca="false">J13*Premissas!$C$18</f>
        <v>117.092094915</v>
      </c>
      <c r="K19" s="24" t="n">
        <f aca="false">K13*Premissas!$C$18</f>
        <v>139.974935723775</v>
      </c>
      <c r="L19" s="24" t="n">
        <f aca="false">L13*Premissas!$C$18</f>
        <v>162.830682576689</v>
      </c>
      <c r="M19" s="24" t="n">
        <f aca="false">M13*Premissas!$C$18</f>
        <v>185.721525553263</v>
      </c>
      <c r="N19" s="24" t="n">
        <f aca="false">N13*Premissas!$C$18</f>
        <v>208.708648728146</v>
      </c>
      <c r="O19" s="24" t="n">
        <f aca="false">O13*Premissas!$C$18</f>
        <v>231.852413174399</v>
      </c>
      <c r="P19" s="24" t="n">
        <f aca="false">P13*Premissas!$C$18</f>
        <v>255.212534505525</v>
      </c>
      <c r="Q19" s="24" t="n">
        <f aca="false">Q13*Premissas!$C$18</f>
        <v>278.848255532254</v>
      </c>
      <c r="R19" s="24" t="n">
        <f aca="false">R13*Premissas!$C$18</f>
        <v>302.818514586748</v>
      </c>
      <c r="S19" s="24" t="n">
        <f aca="false">S13*Premissas!$C$18</f>
        <v>327.182110045361</v>
      </c>
      <c r="T19" s="24" t="n">
        <f aca="false">T13*Premissas!$C$18</f>
        <v>351.997861561479</v>
      </c>
      <c r="U19" s="24" t="n">
        <f aca="false">U13*Premissas!$C$18</f>
        <v>377.324768501978</v>
      </c>
      <c r="V19" s="24" t="n">
        <f aca="false">V13*Premissas!$C$18</f>
        <v>403.222166064586</v>
      </c>
      <c r="W19" s="24" t="n">
        <f aca="false">W13*Premissas!$C$18</f>
        <v>429.749879538709</v>
      </c>
      <c r="X19" s="24" t="n">
        <f aca="false">X13*Premissas!$C$18</f>
        <v>456.968377159095</v>
      </c>
      <c r="Y19" s="24" t="n">
        <f aca="false">Y13*Premissas!$C$18</f>
        <v>484.93892198993</v>
      </c>
      <c r="Z19" s="24" t="n">
        <f aca="false">Z13*Premissas!$C$18</f>
        <v>513.723723266632</v>
      </c>
      <c r="AA19" s="24" t="n">
        <f aca="false">AA13*Premissas!$C$18</f>
        <v>543.386087613556</v>
      </c>
      <c r="AB19" s="24" t="n">
        <f aca="false">AB13*Premissas!$C$18</f>
        <v>573.990570548097</v>
      </c>
      <c r="AC19" s="24" t="n">
        <f aca="false">AC13*Premissas!$C$18</f>
        <v>605.603128675175</v>
      </c>
      <c r="AD19" s="24" t="n">
        <f aca="false">AD13*Premissas!$C$18</f>
        <v>638.291272970828</v>
      </c>
      <c r="AE19" s="24" t="n">
        <f aca="false">AE13*Premissas!$C$18</f>
        <v>672.124223549468</v>
      </c>
      <c r="AF19" s="24" t="n">
        <f aca="false">AF13*Premissas!$C$18</f>
        <v>707.17306630645</v>
      </c>
      <c r="AG19" s="24" t="n">
        <f aca="false">AG13*Premissas!$C$18</f>
        <v>743.510911825661</v>
      </c>
      <c r="AH19" s="24" t="n">
        <f aca="false">AH13*Premissas!$C$18</f>
        <v>781.213056941112</v>
      </c>
      <c r="AI19" s="24" t="n">
        <f aca="false">AI13*Premissas!$C$18</f>
        <v>820.35714934176</v>
      </c>
      <c r="AJ19" s="24" t="n">
        <f aca="false">AJ13*Premissas!$C$18</f>
        <v>861.023355610139</v>
      </c>
      <c r="AK19" s="24" t="n">
        <f aca="false">AK13*Premissas!$C$18</f>
        <v>903.294533087715</v>
      </c>
      <c r="AL19" s="24" t="n">
        <f aca="false">AL13*Premissas!$C$18</f>
        <v>947.256405963275</v>
      </c>
      <c r="AM19" s="24" t="n">
        <f aca="false">AM13*Premissas!$C$18</f>
        <v>992.997745985038</v>
      </c>
      <c r="AN19" s="24" t="n">
        <f aca="false">AN13*Premissas!$C$18</f>
        <v>1040.61055820258</v>
      </c>
      <c r="AO19" s="24" t="n">
        <f aca="false">AO13*Premissas!$C$18</f>
        <v>1090.19027215101</v>
      </c>
      <c r="AP19" s="24" t="n">
        <f aca="false">AP13*Premissas!$C$18</f>
        <v>1141.83593889736</v>
      </c>
      <c r="AQ19" s="24" t="n">
        <f aca="false">AQ13*Premissas!$C$18</f>
        <v>1195.65043437733</v>
      </c>
      <c r="AR19" s="24" t="n">
        <f aca="false">AR13*Premissas!$C$18</f>
        <v>1251.74066946012</v>
      </c>
      <c r="AS19" s="24" t="n">
        <f aca="false">AS13*Premissas!$C$18</f>
        <v>1310.21780718949</v>
      </c>
      <c r="AT19" s="24" t="n">
        <f aca="false">AT13*Premissas!$C$18</f>
        <v>1371.19748766046</v>
      </c>
      <c r="AU19" s="24" t="n">
        <f aca="false">AU13*Premissas!$C$18</f>
        <v>1434.80006100377</v>
      </c>
      <c r="AV19" s="24" t="n">
        <f aca="false">AV13*Premissas!$C$18</f>
        <v>1501.15082896362</v>
      </c>
      <c r="AW19" s="24" t="n">
        <f aca="false">AW13*Premissas!$C$18</f>
        <v>1570.38029556879</v>
      </c>
      <c r="AX19" s="24" t="n">
        <f aca="false">AX13*Premissas!$C$18</f>
        <v>1642.62442741307</v>
      </c>
      <c r="AY19" s="24" t="n">
        <f aca="false">AY13*Premissas!$C$18</f>
        <v>1718.02492407773</v>
      </c>
      <c r="AZ19" s="24" t="n">
        <f aca="false">AZ13*Premissas!$C$18</f>
        <v>1796.72949924643</v>
      </c>
      <c r="BA19" s="24" t="n">
        <f aca="false">BA13*Premissas!$C$18</f>
        <v>1878.89217308262</v>
      </c>
      <c r="BB19" s="24" t="n">
        <f aca="false">BB13*Premissas!$C$18</f>
        <v>1964.67357645922</v>
      </c>
      <c r="BC19" s="24" t="n">
        <f aca="false">BC13*Premissas!$C$18</f>
        <v>2054.2412676525</v>
      </c>
      <c r="BD19" s="24" t="n">
        <f aca="false">BD13*Premissas!$C$18</f>
        <v>2147.77006213432</v>
      </c>
      <c r="BE19" s="24" t="n">
        <f aca="false">BE13*Premissas!$C$18</f>
        <v>2245.44237612158</v>
      </c>
      <c r="BF19" s="24" t="n">
        <f aca="false">BF13*Premissas!$C$18</f>
        <v>2347.44858456678</v>
      </c>
      <c r="BG19" s="24" t="n">
        <f aca="false">BG13*Premissas!$C$18</f>
        <v>2453.98739430084</v>
      </c>
      <c r="BH19" s="24" t="n">
        <f aca="false">BH13*Premissas!$C$18</f>
        <v>2565.26623306722</v>
      </c>
      <c r="BI19" s="24" t="n">
        <f aca="false">BI13*Premissas!$C$18</f>
        <v>2681.35025908319</v>
      </c>
      <c r="BJ19" s="24" t="n">
        <f aca="false">BJ13*Premissas!$C$18</f>
        <v>2790.4692435382</v>
      </c>
      <c r="BK19" s="24" t="n">
        <f aca="false">BK13*Premissas!$C$18</f>
        <v>2893.0410889259</v>
      </c>
    </row>
    <row r="20" customFormat="false" ht="15" hidden="false" customHeight="false" outlineLevel="0" collapsed="false">
      <c r="A20" s="9" t="s">
        <v>159</v>
      </c>
      <c r="B20" s="19" t="s">
        <v>158</v>
      </c>
      <c r="C20" s="24" t="n">
        <v>0</v>
      </c>
      <c r="D20" s="24" t="n">
        <f aca="false">D8*Premissas!$C$19</f>
        <v>56</v>
      </c>
      <c r="E20" s="24" t="n">
        <f aca="false">E8*Premissas!$C$19</f>
        <v>107.8</v>
      </c>
      <c r="F20" s="24" t="n">
        <f aca="false">F8*Premissas!$C$19</f>
        <v>152.6574</v>
      </c>
      <c r="G20" s="24" t="n">
        <f aca="false">G8*Premissas!$C$19</f>
        <v>194.732615</v>
      </c>
      <c r="H20" s="24" t="n">
        <f aca="false">H8*Premissas!$C$19</f>
        <v>234.476538835</v>
      </c>
      <c r="I20" s="24" t="n">
        <f aca="false">I8*Premissas!$C$19</f>
        <v>272.291224503375</v>
      </c>
      <c r="J20" s="24" t="n">
        <f aca="false">J8*Premissas!$C$19</f>
        <v>308.535982056331</v>
      </c>
      <c r="K20" s="24" t="n">
        <f aca="false">K8*Premissas!$C$19</f>
        <v>343.532755405133</v>
      </c>
      <c r="L20" s="24" t="n">
        <f aca="false">L8*Premissas!$C$19</f>
        <v>377.57086505588</v>
      </c>
      <c r="M20" s="24" t="n">
        <f aca="false">M8*Premissas!$C$19</f>
        <v>410.911193362008</v>
      </c>
      <c r="N20" s="24" t="n">
        <f aca="false">N8*Premissas!$C$19</f>
        <v>443.789879716478</v>
      </c>
      <c r="O20" s="24" t="n">
        <f aca="false">O8*Premissas!$C$19</f>
        <v>476.421585038518</v>
      </c>
      <c r="P20" s="24" t="n">
        <f aca="false">P8*Premissas!$C$19</f>
        <v>509.002377811874</v>
      </c>
      <c r="Q20" s="24" t="n">
        <f aca="false">Q8*Premissas!$C$19</f>
        <v>541.712287686436</v>
      </c>
      <c r="R20" s="24" t="n">
        <f aca="false">R8*Premissas!$C$19</f>
        <v>574.71756716059</v>
      </c>
      <c r="S20" s="24" t="n">
        <f aca="false">S8*Premissas!$C$19</f>
        <v>608.172697027689</v>
      </c>
      <c r="T20" s="24" t="n">
        <f aca="false">T8*Premissas!$C$19</f>
        <v>642.222167017423</v>
      </c>
      <c r="U20" s="24" t="n">
        <f aca="false">U8*Premissas!$C$19</f>
        <v>677.002059321877</v>
      </c>
      <c r="V20" s="24" t="n">
        <f aca="false">V8*Premissas!$C$19</f>
        <v>712.64145940539</v>
      </c>
      <c r="W20" s="24" t="n">
        <f aca="false">W8*Premissas!$C$19</f>
        <v>749.263715602978</v>
      </c>
      <c r="X20" s="24" t="n">
        <f aca="false">X8*Premissas!$C$19</f>
        <v>786.987566466536</v>
      </c>
      <c r="Y20" s="24" t="n">
        <f aca="false">Y8*Premissas!$C$19</f>
        <v>825.928152579584</v>
      </c>
      <c r="Z20" s="24" t="n">
        <f aca="false">Z8*Premissas!$C$19</f>
        <v>866.197927593072</v>
      </c>
      <c r="AA20" s="24" t="n">
        <f aca="false">AA8*Premissas!$C$19</f>
        <v>907.907481504478</v>
      </c>
      <c r="AB20" s="24" t="n">
        <f aca="false">AB8*Premissas!$C$19</f>
        <v>951.166287681531</v>
      </c>
      <c r="AC20" s="24" t="n">
        <f aca="false">AC8*Premissas!$C$19</f>
        <v>996.08338379543</v>
      </c>
      <c r="AD20" s="24" t="n">
        <f aca="false">AD8*Premissas!$C$19</f>
        <v>1042.76799565427</v>
      </c>
      <c r="AE20" s="24" t="n">
        <f aca="false">AE8*Premissas!$C$19</f>
        <v>1091.33011189619</v>
      </c>
      <c r="AF20" s="24" t="n">
        <f aca="false">AF8*Premissas!$C$19</f>
        <v>1141.88101659649</v>
      </c>
      <c r="AG20" s="24" t="n">
        <f aca="false">AG8*Premissas!$C$19</f>
        <v>1194.53378604852</v>
      </c>
      <c r="AH20" s="24" t="n">
        <f aca="false">AH8*Premissas!$C$19</f>
        <v>1249.40375528126</v>
      </c>
      <c r="AI20" s="24" t="n">
        <f aca="false">AI8*Premissas!$C$19</f>
        <v>1306.60895926621</v>
      </c>
      <c r="AJ20" s="24" t="n">
        <f aca="false">AJ8*Premissas!$C$19</f>
        <v>1366.27055323081</v>
      </c>
      <c r="AK20" s="24" t="n">
        <f aca="false">AK8*Premissas!$C$19</f>
        <v>1428.5132160281</v>
      </c>
      <c r="AL20" s="24" t="n">
        <f aca="false">AL8*Premissas!$C$19</f>
        <v>1493.46554010304</v>
      </c>
      <c r="AM20" s="24" t="n">
        <f aca="false">AM8*Premissas!$C$19</f>
        <v>1561.26041123891</v>
      </c>
      <c r="AN20" s="24" t="n">
        <f aca="false">AN8*Premissas!$C$19</f>
        <v>1632.03538095615</v>
      </c>
      <c r="AO20" s="24" t="n">
        <f aca="false">AO8*Premissas!$C$19</f>
        <v>1705.93303416528</v>
      </c>
      <c r="AP20" s="24" t="n">
        <f aca="false">AP8*Premissas!$C$19</f>
        <v>1783.10135444089</v>
      </c>
      <c r="AQ20" s="24" t="n">
        <f aca="false">AQ8*Premissas!$C$19</f>
        <v>1863.69408908033</v>
      </c>
      <c r="AR20" s="24" t="n">
        <f aca="false">AR8*Premissas!$C$19</f>
        <v>1947.87111593578</v>
      </c>
      <c r="AS20" s="24" t="n">
        <f aca="false">AS8*Premissas!$C$19</f>
        <v>2035.79881385812</v>
      </c>
      <c r="AT20" s="24" t="n">
        <f aca="false">AT8*Premissas!$C$19</f>
        <v>2127.65043846233</v>
      </c>
      <c r="AU20" s="24" t="n">
        <f aca="false">AU8*Premissas!$C$19</f>
        <v>2223.60650481605</v>
      </c>
      <c r="AV20" s="24" t="n">
        <f aca="false">AV8*Premissas!$C$19</f>
        <v>2323.85517856095</v>
      </c>
      <c r="AW20" s="24" t="n">
        <f aca="false">AW8*Premissas!$C$19</f>
        <v>2428.59267690098</v>
      </c>
      <c r="AX20" s="24" t="n">
        <f aca="false">AX8*Premissas!$C$19</f>
        <v>2538.02368082974</v>
      </c>
      <c r="AY20" s="24" t="n">
        <f aca="false">AY8*Premissas!$C$19</f>
        <v>2652.36175991911</v>
      </c>
      <c r="AZ20" s="24" t="n">
        <f aca="false">AZ8*Premissas!$C$19</f>
        <v>2771.82981095326</v>
      </c>
      <c r="BA20" s="24" t="n">
        <f aca="false">BA8*Premissas!$C$19</f>
        <v>2896.66051166341</v>
      </c>
      <c r="BB20" s="24" t="n">
        <f aca="false">BB8*Premissas!$C$19</f>
        <v>3027.09679079945</v>
      </c>
      <c r="BC20" s="24" t="n">
        <f aca="false">BC8*Premissas!$C$19</f>
        <v>3163.39231576326</v>
      </c>
      <c r="BD20" s="24" t="n">
        <f aca="false">BD8*Premissas!$C$19</f>
        <v>3305.81199902511</v>
      </c>
      <c r="BE20" s="24" t="n">
        <f aca="false">BE8*Premissas!$C$19</f>
        <v>3454.63252454744</v>
      </c>
      <c r="BF20" s="24" t="n">
        <f aca="false">BF8*Premissas!$C$19</f>
        <v>3610.14289545033</v>
      </c>
      <c r="BG20" s="24" t="n">
        <f aca="false">BG8*Premissas!$C$19</f>
        <v>3772.29174652316</v>
      </c>
      <c r="BH20" s="24" t="n">
        <f aca="false">BH8*Premissas!$C$19</f>
        <v>3913.42420540096</v>
      </c>
      <c r="BI20" s="24" t="n">
        <f aca="false">BI8*Premissas!$C$19</f>
        <v>4036.01330075284</v>
      </c>
      <c r="BJ20" s="24" t="n">
        <f aca="false">BJ8*Premissas!$C$19</f>
        <v>4143.8917046625</v>
      </c>
      <c r="BK20" s="24" t="n">
        <f aca="false">BK8*Premissas!$C$19</f>
        <v>4238.824700103</v>
      </c>
    </row>
    <row r="21" customFormat="false" ht="15" hidden="false" customHeight="false" outlineLevel="0" collapsed="false">
      <c r="A21" s="9" t="s">
        <v>160</v>
      </c>
      <c r="B21" s="19" t="s">
        <v>155</v>
      </c>
      <c r="C21" s="22" t="n">
        <v>0</v>
      </c>
      <c r="D21" s="22" t="n">
        <f aca="false">(D19+D20)*Premissas!$C$22</f>
        <v>1680</v>
      </c>
      <c r="E21" s="22" t="n">
        <f aca="false">(E19+E20)*Premissas!$C$22</f>
        <v>3234</v>
      </c>
      <c r="F21" s="22" t="n">
        <f aca="false">(F19+F20)*Premissas!$C$22</f>
        <v>5299.722</v>
      </c>
      <c r="G21" s="22" t="n">
        <f aca="false">(G19+G20)*Premissas!$C$22</f>
        <v>7271.17845</v>
      </c>
      <c r="H21" s="22" t="n">
        <f aca="false">(H19+H20)*Premissas!$C$22</f>
        <v>9164.00216505</v>
      </c>
      <c r="I21" s="22" t="n">
        <f aca="false">(I19+I20)*Premissas!$C$22</f>
        <v>10992.2999851012</v>
      </c>
      <c r="J21" s="22" t="n">
        <f aca="false">(J19+J20)*Premissas!$C$22</f>
        <v>12768.8423091399</v>
      </c>
      <c r="K21" s="22" t="n">
        <f aca="false">(K19+K20)*Premissas!$C$22</f>
        <v>14505.2307338672</v>
      </c>
      <c r="L21" s="22" t="n">
        <f aca="false">(L19+L20)*Premissas!$C$22</f>
        <v>16212.046428977</v>
      </c>
      <c r="M21" s="22" t="n">
        <f aca="false">(M19+M20)*Premissas!$C$22</f>
        <v>17898.9815674581</v>
      </c>
      <c r="N21" s="22" t="n">
        <f aca="false">(N19+N20)*Premissas!$C$22</f>
        <v>19574.9558533387</v>
      </c>
      <c r="O21" s="22" t="n">
        <f aca="false">(O19+O20)*Premissas!$C$22</f>
        <v>21248.2199463875</v>
      </c>
      <c r="P21" s="22" t="n">
        <f aca="false">(P19+P20)*Premissas!$C$22</f>
        <v>22926.447369522</v>
      </c>
      <c r="Q21" s="22" t="n">
        <f aca="false">(Q19+Q20)*Premissas!$C$22</f>
        <v>24616.8162965607</v>
      </c>
      <c r="R21" s="22" t="n">
        <f aca="false">(R19+R20)*Premissas!$C$22</f>
        <v>26326.0824524201</v>
      </c>
      <c r="S21" s="22" t="n">
        <f aca="false">(S19+S20)*Premissas!$C$22</f>
        <v>28060.6442121915</v>
      </c>
      <c r="T21" s="22" t="n">
        <f aca="false">(T19+T20)*Premissas!$C$22</f>
        <v>29826.6008573671</v>
      </c>
      <c r="U21" s="22" t="n">
        <f aca="false">(U19+U20)*Premissas!$C$22</f>
        <v>31629.8048347156</v>
      </c>
      <c r="V21" s="22" t="n">
        <f aca="false">(V19+V20)*Premissas!$C$22</f>
        <v>33475.9087640993</v>
      </c>
      <c r="W21" s="22" t="n">
        <f aca="false">(W19+W20)*Premissas!$C$22</f>
        <v>35370.4078542506</v>
      </c>
      <c r="X21" s="22" t="n">
        <f aca="false">(X19+X20)*Premissas!$C$22</f>
        <v>37318.678308769</v>
      </c>
      <c r="Y21" s="22" t="n">
        <f aca="false">(Y19+Y20)*Premissas!$C$22</f>
        <v>39326.0122370854</v>
      </c>
      <c r="Z21" s="22" t="n">
        <f aca="false">(Z19+Z20)*Premissas!$C$22</f>
        <v>41397.6495257911</v>
      </c>
      <c r="AA21" s="22" t="n">
        <f aca="false">(AA19+AA20)*Premissas!$C$22</f>
        <v>43538.807073541</v>
      </c>
      <c r="AB21" s="22" t="n">
        <f aca="false">(AB19+AB20)*Premissas!$C$22</f>
        <v>45754.7057468888</v>
      </c>
      <c r="AC21" s="22" t="n">
        <f aca="false">(AC19+AC20)*Premissas!$C$22</f>
        <v>48050.5953741182</v>
      </c>
      <c r="AD21" s="22" t="n">
        <f aca="false">(AD19+AD20)*Premissas!$C$22</f>
        <v>50431.7780587528</v>
      </c>
      <c r="AE21" s="22" t="n">
        <f aca="false">(AE19+AE20)*Premissas!$C$22</f>
        <v>52903.6300633696</v>
      </c>
      <c r="AF21" s="22" t="n">
        <f aca="false">(AF19+AF20)*Premissas!$C$22</f>
        <v>55471.6224870883</v>
      </c>
      <c r="AG21" s="22" t="n">
        <f aca="false">(AG19+AG20)*Premissas!$C$22</f>
        <v>58141.3409362254</v>
      </c>
      <c r="AH21" s="22" t="n">
        <f aca="false">(AH19+AH20)*Premissas!$C$22</f>
        <v>60918.5043666712</v>
      </c>
      <c r="AI21" s="22" t="n">
        <f aca="false">(AI19+AI20)*Premissas!$C$22</f>
        <v>63808.9832582391</v>
      </c>
      <c r="AJ21" s="22" t="n">
        <f aca="false">(AJ19+AJ20)*Premissas!$C$22</f>
        <v>66818.8172652284</v>
      </c>
      <c r="AK21" s="22" t="n">
        <f aca="false">(AK19+AK20)*Premissas!$C$22</f>
        <v>69954.2324734744</v>
      </c>
      <c r="AL21" s="22" t="n">
        <f aca="false">(AL19+AL20)*Premissas!$C$22</f>
        <v>73221.6583819894</v>
      </c>
      <c r="AM21" s="22" t="n">
        <f aca="false">(AM19+AM20)*Premissas!$C$22</f>
        <v>76627.7447167184</v>
      </c>
      <c r="AN21" s="22" t="n">
        <f aca="false">(AN19+AN20)*Premissas!$C$22</f>
        <v>80179.3781747616</v>
      </c>
      <c r="AO21" s="22" t="n">
        <f aca="false">(AO19+AO20)*Premissas!$C$22</f>
        <v>83883.6991894887</v>
      </c>
      <c r="AP21" s="22" t="n">
        <f aca="false">(AP19+AP20)*Premissas!$C$22</f>
        <v>87748.1188001477</v>
      </c>
      <c r="AQ21" s="22" t="n">
        <f aca="false">(AQ19+AQ20)*Premissas!$C$22</f>
        <v>91780.3357037297</v>
      </c>
      <c r="AR21" s="22" t="n">
        <f aca="false">(AR19+AR20)*Premissas!$C$22</f>
        <v>95988.3535618772</v>
      </c>
      <c r="AS21" s="22" t="n">
        <f aca="false">(AS19+AS20)*Premissas!$C$22</f>
        <v>100380.498631428</v>
      </c>
      <c r="AT21" s="22" t="n">
        <f aca="false">(AT19+AT20)*Premissas!$C$22</f>
        <v>104965.437783684</v>
      </c>
      <c r="AU21" s="22" t="n">
        <f aca="false">(AU19+AU20)*Premissas!$C$22</f>
        <v>109752.196974595</v>
      </c>
      <c r="AV21" s="22" t="n">
        <f aca="false">(AV19+AV20)*Premissas!$C$22</f>
        <v>114750.180225737</v>
      </c>
      <c r="AW21" s="22" t="n">
        <f aca="false">(AW19+AW20)*Premissas!$C$22</f>
        <v>119969.189174093</v>
      </c>
      <c r="AX21" s="22" t="n">
        <f aca="false">(AX19+AX20)*Premissas!$C$22</f>
        <v>125419.443247285</v>
      </c>
      <c r="AY21" s="22" t="n">
        <f aca="false">(AY19+AY20)*Premissas!$C$22</f>
        <v>131111.600519905</v>
      </c>
      <c r="AZ21" s="22" t="n">
        <f aca="false">(AZ19+AZ20)*Premissas!$C$22</f>
        <v>137056.779305991</v>
      </c>
      <c r="BA21" s="22" t="n">
        <f aca="false">(BA19+BA20)*Premissas!$C$22</f>
        <v>143266.580542381</v>
      </c>
      <c r="BB21" s="22" t="n">
        <f aca="false">(BB19+BB20)*Premissas!$C$22</f>
        <v>149753.11101776</v>
      </c>
      <c r="BC21" s="22" t="n">
        <f aca="false">(BC19+BC20)*Premissas!$C$22</f>
        <v>156529.007502473</v>
      </c>
      <c r="BD21" s="22" t="n">
        <f aca="false">(BD19+BD20)*Premissas!$C$22</f>
        <v>163607.461834783</v>
      </c>
      <c r="BE21" s="22" t="n">
        <f aca="false">(BE19+BE20)*Premissas!$C$22</f>
        <v>171002.24702007</v>
      </c>
      <c r="BF21" s="22" t="n">
        <f aca="false">(BF19+BF20)*Premissas!$C$22</f>
        <v>178727.744400513</v>
      </c>
      <c r="BG21" s="22" t="n">
        <f aca="false">(BG19+BG20)*Premissas!$C$22</f>
        <v>186788.37422472</v>
      </c>
      <c r="BH21" s="22" t="n">
        <f aca="false">(BH19+BH20)*Premissas!$C$22</f>
        <v>194360.713154045</v>
      </c>
      <c r="BI21" s="22" t="n">
        <f aca="false">(BI19+BI20)*Premissas!$C$22</f>
        <v>201520.906795081</v>
      </c>
      <c r="BJ21" s="22" t="n">
        <f aca="false">(BJ19+BJ20)*Premissas!$C$22</f>
        <v>208030.828446021</v>
      </c>
      <c r="BK21" s="22" t="n">
        <f aca="false">(BK19+BK20)*Premissas!$C$22</f>
        <v>213955.973670867</v>
      </c>
    </row>
    <row r="22" customFormat="false" ht="15" hidden="false" customHeight="false" outlineLevel="0" collapsed="false">
      <c r="A22" s="9" t="s">
        <v>161</v>
      </c>
      <c r="B22" s="19" t="s">
        <v>155</v>
      </c>
      <c r="C22" s="22" t="n">
        <v>0</v>
      </c>
      <c r="D22" s="22" t="n">
        <f aca="false">(D19+D20)*Premissas!$C$23</f>
        <v>1400</v>
      </c>
      <c r="E22" s="22" t="n">
        <f aca="false">(E19+E20)*Premissas!$C$23</f>
        <v>2695</v>
      </c>
      <c r="F22" s="22" t="n">
        <f aca="false">(F19+F20)*Premissas!$C$23</f>
        <v>4416.435</v>
      </c>
      <c r="G22" s="22" t="n">
        <f aca="false">(G19+G20)*Premissas!$C$23</f>
        <v>6059.315375</v>
      </c>
      <c r="H22" s="22" t="n">
        <f aca="false">(H19+H20)*Premissas!$C$23</f>
        <v>7636.668470875</v>
      </c>
      <c r="I22" s="22" t="n">
        <f aca="false">(I19+I20)*Premissas!$C$23</f>
        <v>9160.24998758437</v>
      </c>
      <c r="J22" s="22" t="n">
        <f aca="false">(J19+J20)*Premissas!$C$23</f>
        <v>10640.7019242833</v>
      </c>
      <c r="K22" s="22" t="n">
        <f aca="false">(K19+K20)*Premissas!$C$23</f>
        <v>12087.6922782227</v>
      </c>
      <c r="L22" s="22" t="n">
        <f aca="false">(L19+L20)*Premissas!$C$23</f>
        <v>13510.0386908142</v>
      </c>
      <c r="M22" s="22" t="n">
        <f aca="false">(M19+M20)*Premissas!$C$23</f>
        <v>14915.8179728818</v>
      </c>
      <c r="N22" s="22" t="n">
        <f aca="false">(N19+N20)*Premissas!$C$23</f>
        <v>16312.4632111156</v>
      </c>
      <c r="O22" s="22" t="n">
        <f aca="false">(O19+O20)*Premissas!$C$23</f>
        <v>17706.8499553229</v>
      </c>
      <c r="P22" s="22" t="n">
        <f aca="false">(P19+P20)*Premissas!$C$23</f>
        <v>19105.372807935</v>
      </c>
      <c r="Q22" s="22" t="n">
        <f aca="false">(Q19+Q20)*Premissas!$C$23</f>
        <v>20514.0135804673</v>
      </c>
      <c r="R22" s="22" t="n">
        <f aca="false">(R19+R20)*Premissas!$C$23</f>
        <v>21938.4020436834</v>
      </c>
      <c r="S22" s="22" t="n">
        <f aca="false">(S19+S20)*Premissas!$C$23</f>
        <v>23383.8701768263</v>
      </c>
      <c r="T22" s="22" t="n">
        <f aca="false">(T19+T20)*Premissas!$C$23</f>
        <v>24855.5007144726</v>
      </c>
      <c r="U22" s="22" t="n">
        <f aca="false">(U19+U20)*Premissas!$C$23</f>
        <v>26358.1706955964</v>
      </c>
      <c r="V22" s="22" t="n">
        <f aca="false">(V19+V20)*Premissas!$C$23</f>
        <v>27896.5906367494</v>
      </c>
      <c r="W22" s="22" t="n">
        <f aca="false">(W19+W20)*Premissas!$C$23</f>
        <v>29475.3398785422</v>
      </c>
      <c r="X22" s="22" t="n">
        <f aca="false">(X19+X20)*Premissas!$C$23</f>
        <v>31098.8985906408</v>
      </c>
      <c r="Y22" s="22" t="n">
        <f aca="false">(Y19+Y20)*Premissas!$C$23</f>
        <v>32771.6768642378</v>
      </c>
      <c r="Z22" s="22" t="n">
        <f aca="false">(Z19+Z20)*Premissas!$C$23</f>
        <v>34498.0412714926</v>
      </c>
      <c r="AA22" s="22" t="n">
        <f aca="false">(AA19+AA20)*Premissas!$C$23</f>
        <v>36282.3392279509</v>
      </c>
      <c r="AB22" s="22" t="n">
        <f aca="false">(AB19+AB20)*Premissas!$C$23</f>
        <v>38128.9214557407</v>
      </c>
      <c r="AC22" s="22" t="n">
        <f aca="false">(AC19+AC20)*Premissas!$C$23</f>
        <v>40042.1628117651</v>
      </c>
      <c r="AD22" s="22" t="n">
        <f aca="false">(AD19+AD20)*Premissas!$C$23</f>
        <v>42026.4817156274</v>
      </c>
      <c r="AE22" s="22" t="n">
        <f aca="false">(AE19+AE20)*Premissas!$C$23</f>
        <v>44086.3583861413</v>
      </c>
      <c r="AF22" s="22" t="n">
        <f aca="false">(AF19+AF20)*Premissas!$C$23</f>
        <v>46226.3520725736</v>
      </c>
      <c r="AG22" s="22" t="n">
        <f aca="false">(AG19+AG20)*Premissas!$C$23</f>
        <v>48451.1174468545</v>
      </c>
      <c r="AH22" s="22" t="n">
        <f aca="false">(AH19+AH20)*Premissas!$C$23</f>
        <v>50765.4203055593</v>
      </c>
      <c r="AI22" s="22" t="n">
        <f aca="false">(AI19+AI20)*Premissas!$C$23</f>
        <v>53174.1527151993</v>
      </c>
      <c r="AJ22" s="22" t="n">
        <f aca="false">(AJ19+AJ20)*Premissas!$C$23</f>
        <v>55682.3477210237</v>
      </c>
      <c r="AK22" s="22" t="n">
        <f aca="false">(AK19+AK20)*Premissas!$C$23</f>
        <v>58295.1937278953</v>
      </c>
      <c r="AL22" s="22" t="n">
        <f aca="false">(AL19+AL20)*Premissas!$C$23</f>
        <v>61018.0486516578</v>
      </c>
      <c r="AM22" s="22" t="n">
        <f aca="false">(AM19+AM20)*Premissas!$C$23</f>
        <v>63856.4539305987</v>
      </c>
      <c r="AN22" s="22" t="n">
        <f aca="false">(AN19+AN20)*Premissas!$C$23</f>
        <v>66816.148478968</v>
      </c>
      <c r="AO22" s="22" t="n">
        <f aca="false">(AO19+AO20)*Premissas!$C$23</f>
        <v>69903.0826579073</v>
      </c>
      <c r="AP22" s="22" t="n">
        <f aca="false">(AP19+AP20)*Premissas!$C$23</f>
        <v>73123.4323334564</v>
      </c>
      <c r="AQ22" s="22" t="n">
        <f aca="false">(AQ19+AQ20)*Premissas!$C$23</f>
        <v>76483.6130864414</v>
      </c>
      <c r="AR22" s="22" t="n">
        <f aca="false">(AR19+AR20)*Premissas!$C$23</f>
        <v>79990.2946348976</v>
      </c>
      <c r="AS22" s="22" t="n">
        <f aca="false">(AS19+AS20)*Premissas!$C$23</f>
        <v>83650.4155261901</v>
      </c>
      <c r="AT22" s="22" t="n">
        <f aca="false">(AT19+AT20)*Premissas!$C$23</f>
        <v>87471.1981530696</v>
      </c>
      <c r="AU22" s="22" t="n">
        <f aca="false">(AU19+AU20)*Premissas!$C$23</f>
        <v>91460.1641454957</v>
      </c>
      <c r="AV22" s="22" t="n">
        <f aca="false">(AV19+AV20)*Premissas!$C$23</f>
        <v>95625.1501881143</v>
      </c>
      <c r="AW22" s="22" t="n">
        <f aca="false">(AW19+AW20)*Premissas!$C$23</f>
        <v>99974.3243117442</v>
      </c>
      <c r="AX22" s="22" t="n">
        <f aca="false">(AX19+AX20)*Premissas!$C$23</f>
        <v>104516.20270607</v>
      </c>
      <c r="AY22" s="22" t="n">
        <f aca="false">(AY19+AY20)*Premissas!$C$23</f>
        <v>109259.667099921</v>
      </c>
      <c r="AZ22" s="22" t="n">
        <f aca="false">(AZ19+AZ20)*Premissas!$C$23</f>
        <v>114213.982754992</v>
      </c>
      <c r="BA22" s="22" t="n">
        <f aca="false">(BA19+BA20)*Premissas!$C$23</f>
        <v>119388.817118651</v>
      </c>
      <c r="BB22" s="22" t="n">
        <f aca="false">(BB19+BB20)*Premissas!$C$23</f>
        <v>124794.259181467</v>
      </c>
      <c r="BC22" s="22" t="n">
        <f aca="false">(BC19+BC20)*Premissas!$C$23</f>
        <v>130440.839585394</v>
      </c>
      <c r="BD22" s="22" t="n">
        <f aca="false">(BD19+BD20)*Premissas!$C$23</f>
        <v>136339.551528986</v>
      </c>
      <c r="BE22" s="22" t="n">
        <f aca="false">(BE19+BE20)*Premissas!$C$23</f>
        <v>142501.872516725</v>
      </c>
      <c r="BF22" s="22" t="n">
        <f aca="false">(BF19+BF20)*Premissas!$C$23</f>
        <v>148939.787000428</v>
      </c>
      <c r="BG22" s="22" t="n">
        <f aca="false">(BG19+BG20)*Premissas!$C$23</f>
        <v>155656.9785206</v>
      </c>
      <c r="BH22" s="22" t="n">
        <f aca="false">(BH19+BH20)*Premissas!$C$23</f>
        <v>161967.260961704</v>
      </c>
      <c r="BI22" s="22" t="n">
        <f aca="false">(BI19+BI20)*Premissas!$C$23</f>
        <v>167934.088995901</v>
      </c>
      <c r="BJ22" s="22" t="n">
        <f aca="false">(BJ19+BJ20)*Premissas!$C$23</f>
        <v>173359.023705017</v>
      </c>
      <c r="BK22" s="22" t="n">
        <f aca="false">(BK19+BK20)*Premissas!$C$23</f>
        <v>178296.644725723</v>
      </c>
    </row>
    <row r="23" customFormat="false" ht="15" hidden="false" customHeight="false" outlineLevel="0" collapsed="false">
      <c r="A23" s="9" t="s">
        <v>162</v>
      </c>
      <c r="B23" s="19" t="s">
        <v>155</v>
      </c>
      <c r="C23" s="22" t="n">
        <v>0</v>
      </c>
      <c r="D23" s="22" t="n">
        <f aca="false">D13*Premissas!$C$24</f>
        <v>0</v>
      </c>
      <c r="E23" s="22" t="n">
        <f aca="false">E13*Premissas!$C$24</f>
        <v>0</v>
      </c>
      <c r="F23" s="22" t="n">
        <f aca="false">F13*Premissas!$C$24</f>
        <v>36</v>
      </c>
      <c r="G23" s="22" t="n">
        <f aca="false">G13*Premissas!$C$24</f>
        <v>71.46</v>
      </c>
      <c r="H23" s="22" t="n">
        <f aca="false">H13*Premissas!$C$24</f>
        <v>106.4853</v>
      </c>
      <c r="I23" s="22" t="n">
        <f aca="false">I13*Premissas!$C$24</f>
        <v>141.1781625</v>
      </c>
      <c r="J23" s="22" t="n">
        <f aca="false">J13*Premissas!$C$24</f>
        <v>175.6381423725</v>
      </c>
      <c r="K23" s="22" t="n">
        <f aca="false">K13*Premissas!$C$24</f>
        <v>209.962403585662</v>
      </c>
      <c r="L23" s="22" t="n">
        <f aca="false">L13*Premissas!$C$24</f>
        <v>244.246023865033</v>
      </c>
      <c r="M23" s="22" t="n">
        <f aca="false">M13*Premissas!$C$24</f>
        <v>278.582288329895</v>
      </c>
      <c r="N23" s="22" t="n">
        <f aca="false">N13*Premissas!$C$24</f>
        <v>313.062973092219</v>
      </c>
      <c r="O23" s="22" t="n">
        <f aca="false">O13*Premissas!$C$24</f>
        <v>347.778619761599</v>
      </c>
      <c r="P23" s="22" t="n">
        <f aca="false">P13*Premissas!$C$24</f>
        <v>382.818801758287</v>
      </c>
      <c r="Q23" s="22" t="n">
        <f aca="false">Q13*Premissas!$C$24</f>
        <v>418.272383298382</v>
      </c>
      <c r="R23" s="22" t="n">
        <f aca="false">R13*Premissas!$C$24</f>
        <v>454.227771880122</v>
      </c>
      <c r="S23" s="22" t="n">
        <f aca="false">S13*Premissas!$C$24</f>
        <v>490.773165068042</v>
      </c>
      <c r="T23" s="22" t="n">
        <f aca="false">T13*Premissas!$C$24</f>
        <v>527.996792342219</v>
      </c>
      <c r="U23" s="22" t="n">
        <f aca="false">U13*Premissas!$C$24</f>
        <v>565.987152752967</v>
      </c>
      <c r="V23" s="22" t="n">
        <f aca="false">V13*Premissas!$C$24</f>
        <v>604.833249096878</v>
      </c>
      <c r="W23" s="22" t="n">
        <f aca="false">W13*Premissas!$C$24</f>
        <v>644.624819308064</v>
      </c>
      <c r="X23" s="22" t="n">
        <f aca="false">X13*Premissas!$C$24</f>
        <v>685.452565738643</v>
      </c>
      <c r="Y23" s="22" t="n">
        <f aca="false">Y13*Premissas!$C$24</f>
        <v>727.408382984895</v>
      </c>
      <c r="Z23" s="22" t="n">
        <f aca="false">Z13*Premissas!$C$24</f>
        <v>770.585584899948</v>
      </c>
      <c r="AA23" s="22" t="n">
        <f aca="false">AA13*Premissas!$C$24</f>
        <v>815.079131420334</v>
      </c>
      <c r="AB23" s="22" t="n">
        <f aca="false">AB13*Premissas!$C$24</f>
        <v>860.985855822145</v>
      </c>
      <c r="AC23" s="22" t="n">
        <f aca="false">AC13*Premissas!$C$24</f>
        <v>908.404693012763</v>
      </c>
      <c r="AD23" s="22" t="n">
        <f aca="false">AD13*Premissas!$C$24</f>
        <v>957.436909456241</v>
      </c>
      <c r="AE23" s="22" t="n">
        <f aca="false">AE13*Premissas!$C$24</f>
        <v>1008.1863353242</v>
      </c>
      <c r="AF23" s="22" t="n">
        <f aca="false">AF13*Premissas!$C$24</f>
        <v>1060.75959945968</v>
      </c>
      <c r="AG23" s="22" t="n">
        <f aca="false">AG13*Premissas!$C$24</f>
        <v>1115.26636773849</v>
      </c>
      <c r="AH23" s="22" t="n">
        <f aca="false">AH13*Premissas!$C$24</f>
        <v>1171.81958541167</v>
      </c>
      <c r="AI23" s="22" t="n">
        <f aca="false">AI13*Premissas!$C$24</f>
        <v>1230.53572401264</v>
      </c>
      <c r="AJ23" s="22" t="n">
        <f aca="false">AJ13*Premissas!$C$24</f>
        <v>1291.53503341521</v>
      </c>
      <c r="AK23" s="22" t="n">
        <f aca="false">AK13*Premissas!$C$24</f>
        <v>1354.94179963157</v>
      </c>
      <c r="AL23" s="22" t="n">
        <f aca="false">AL13*Premissas!$C$24</f>
        <v>1420.88460894491</v>
      </c>
      <c r="AM23" s="22" t="n">
        <f aca="false">AM13*Premissas!$C$24</f>
        <v>1489.49661897756</v>
      </c>
      <c r="AN23" s="22" t="n">
        <f aca="false">AN13*Premissas!$C$24</f>
        <v>1560.91583730386</v>
      </c>
      <c r="AO23" s="22" t="n">
        <f aca="false">AO13*Premissas!$C$24</f>
        <v>1635.28540822651</v>
      </c>
      <c r="AP23" s="22" t="n">
        <f aca="false">AP13*Premissas!$C$24</f>
        <v>1712.75390834605</v>
      </c>
      <c r="AQ23" s="22" t="n">
        <f aca="false">AQ13*Premissas!$C$24</f>
        <v>1793.475651566</v>
      </c>
      <c r="AR23" s="22" t="n">
        <f aca="false">AR13*Premissas!$C$24</f>
        <v>1877.61100419018</v>
      </c>
      <c r="AS23" s="22" t="n">
        <f aca="false">AS13*Premissas!$C$24</f>
        <v>1965.32671078423</v>
      </c>
      <c r="AT23" s="22" t="n">
        <f aca="false">AT13*Premissas!$C$24</f>
        <v>2056.79623149069</v>
      </c>
      <c r="AU23" s="22" t="n">
        <f aca="false">AU13*Premissas!$C$24</f>
        <v>2152.20009150566</v>
      </c>
      <c r="AV23" s="22" t="n">
        <f aca="false">AV13*Premissas!$C$24</f>
        <v>2251.72624344544</v>
      </c>
      <c r="AW23" s="22" t="n">
        <f aca="false">AW13*Premissas!$C$24</f>
        <v>2355.57044335318</v>
      </c>
      <c r="AX23" s="22" t="n">
        <f aca="false">AX13*Premissas!$C$24</f>
        <v>2463.93664111961</v>
      </c>
      <c r="AY23" s="22" t="n">
        <f aca="false">AY13*Premissas!$C$24</f>
        <v>2577.0373861166</v>
      </c>
      <c r="AZ23" s="22" t="n">
        <f aca="false">AZ13*Premissas!$C$24</f>
        <v>2695.09424886965</v>
      </c>
      <c r="BA23" s="22" t="n">
        <f aca="false">BA13*Premissas!$C$24</f>
        <v>2818.33825962392</v>
      </c>
      <c r="BB23" s="22" t="n">
        <f aca="false">BB13*Premissas!$C$24</f>
        <v>2947.01036468883</v>
      </c>
      <c r="BC23" s="22" t="n">
        <f aca="false">BC13*Premissas!$C$24</f>
        <v>3081.36190147875</v>
      </c>
      <c r="BD23" s="22" t="n">
        <f aca="false">BD13*Premissas!$C$24</f>
        <v>3221.65509320148</v>
      </c>
      <c r="BE23" s="22" t="n">
        <f aca="false">BE13*Premissas!$C$24</f>
        <v>3368.16356418236</v>
      </c>
      <c r="BF23" s="22" t="n">
        <f aca="false">BF13*Premissas!$C$24</f>
        <v>3521.17287685018</v>
      </c>
      <c r="BG23" s="22" t="n">
        <f aca="false">BG13*Premissas!$C$24</f>
        <v>3680.98109145126</v>
      </c>
      <c r="BH23" s="22" t="n">
        <f aca="false">BH13*Premissas!$C$24</f>
        <v>3847.89934960083</v>
      </c>
      <c r="BI23" s="22" t="n">
        <f aca="false">BI13*Premissas!$C$24</f>
        <v>4022.02538862478</v>
      </c>
      <c r="BJ23" s="22" t="n">
        <f aca="false">BJ13*Premissas!$C$24</f>
        <v>4185.70386530729</v>
      </c>
      <c r="BK23" s="22" t="n">
        <f aca="false">BK13*Premissas!$C$24</f>
        <v>4339.56163338886</v>
      </c>
    </row>
    <row r="24" customFormat="false" ht="15" hidden="false" customHeight="false" outlineLevel="0" collapsed="false">
      <c r="A24" s="13" t="s">
        <v>163</v>
      </c>
      <c r="B24" s="19" t="s">
        <v>155</v>
      </c>
      <c r="C24" s="23" t="n">
        <v>0</v>
      </c>
      <c r="D24" s="23" t="n">
        <f aca="false">D17+D18+D21+D22+D23</f>
        <v>3080</v>
      </c>
      <c r="E24" s="23" t="n">
        <f aca="false">E17+E18+E21+E22+E23</f>
        <v>5929</v>
      </c>
      <c r="F24" s="23" t="n">
        <f aca="false">F17+F18+F21+F22+F23</f>
        <v>10947.357</v>
      </c>
      <c r="G24" s="23" t="n">
        <f aca="false">G17+G18+G21+G22+G23</f>
        <v>15774.425825</v>
      </c>
      <c r="H24" s="23" t="n">
        <f aca="false">H17+H18+H21+H22+H23</f>
        <v>20442.467895925</v>
      </c>
      <c r="I24" s="23" t="n">
        <f aca="false">I17+I18+I21+I22+I23</f>
        <v>24980.8431301856</v>
      </c>
      <c r="J24" s="23" t="n">
        <f aca="false">J17+J18+J21+J22+J23</f>
        <v>29416.3687025627</v>
      </c>
      <c r="K24" s="23" t="n">
        <f aca="false">K17+K18+K21+K22+K23</f>
        <v>33773.6372147196</v>
      </c>
      <c r="L24" s="23" t="n">
        <f aca="false">L17+L18+L21+L22+L23</f>
        <v>38075.2991359754</v>
      </c>
      <c r="M24" s="23" t="n">
        <f aca="false">M17+M18+M21+M22+M23</f>
        <v>42342.3138012223</v>
      </c>
      <c r="N24" s="23" t="n">
        <f aca="false">N17+N18+N21+N22+N23</f>
        <v>46594.1727442082</v>
      </c>
      <c r="O24" s="23" t="n">
        <f aca="false">O17+O18+O21+O22+O23</f>
        <v>50849.0986975571</v>
      </c>
      <c r="P24" s="23" t="n">
        <f aca="false">P17+P18+P21+P22+P23</f>
        <v>55124.2231975903</v>
      </c>
      <c r="Q24" s="23" t="n">
        <f aca="false">Q17+Q18+Q21+Q22+Q23</f>
        <v>59435.7453858326</v>
      </c>
      <c r="R24" s="23" t="n">
        <f aca="false">R17+R18+R21+R22+R23</f>
        <v>63799.0742944037</v>
      </c>
      <c r="S24" s="23" t="n">
        <f aca="false">S17+S18+S21+S22+S23</f>
        <v>68228.9566343448</v>
      </c>
      <c r="T24" s="23" t="n">
        <f aca="false">T17+T18+T21+T22+T23</f>
        <v>72739.5918699435</v>
      </c>
      <c r="U24" s="23" t="n">
        <f aca="false">U17+U18+U21+U22+U23</f>
        <v>77344.7361544635</v>
      </c>
      <c r="V24" s="23" t="n">
        <f aca="false">V17+V18+V21+V22+V23</f>
        <v>82057.7965199619</v>
      </c>
      <c r="W24" s="23" t="n">
        <f aca="false">W17+W18+W21+W22+W23</f>
        <v>86891.9165531286</v>
      </c>
      <c r="X24" s="23" t="n">
        <f aca="false">X17+X18+X21+X22+X23</f>
        <v>91860.0546476713</v>
      </c>
      <c r="Y24" s="23" t="n">
        <f aca="false">Y17+Y18+Y21+Y22+Y23</f>
        <v>96975.0557994067</v>
      </c>
      <c r="Z24" s="23" t="n">
        <f aca="false">Z17+Z18+Z21+Z22+Z23</f>
        <v>102249.717800862</v>
      </c>
      <c r="AA24" s="23" t="n">
        <f aca="false">AA17+AA18+AA21+AA22+AA23</f>
        <v>107696.852596067</v>
      </c>
      <c r="AB24" s="23" t="n">
        <f aca="false">AB17+AB18+AB21+AB22+AB23</f>
        <v>113329.343471747</v>
      </c>
      <c r="AC24" s="23" t="n">
        <f aca="false">AC17+AC18+AC21+AC22+AC23</f>
        <v>119160.19868692</v>
      </c>
      <c r="AD24" s="23" t="n">
        <f aca="false">AD17+AD18+AD21+AD22+AD23</f>
        <v>125202.602077784</v>
      </c>
      <c r="AE24" s="23" t="n">
        <f aca="false">AE17+AE18+AE21+AE22+AE23</f>
        <v>131469.961117599</v>
      </c>
      <c r="AF24" s="23" t="n">
        <f aca="false">AF17+AF18+AF21+AF22+AF23</f>
        <v>137975.952861183</v>
      </c>
      <c r="AG24" s="23" t="n">
        <f aca="false">AG17+AG18+AG21+AG22+AG23</f>
        <v>144734.568159736</v>
      </c>
      <c r="AH24" s="23" t="n">
        <f aca="false">AH17+AH18+AH21+AH22+AH23</f>
        <v>151760.15449331</v>
      </c>
      <c r="AI24" s="23" t="n">
        <f aca="false">AI17+AI18+AI21+AI22+AI23</f>
        <v>159067.457734671</v>
      </c>
      <c r="AJ24" s="23" t="n">
        <f aca="false">AJ17+AJ18+AJ21+AJ22+AJ23</f>
        <v>166671.663129052</v>
      </c>
      <c r="AK24" s="23" t="n">
        <f aca="false">AK17+AK18+AK21+AK22+AK23</f>
        <v>174588.435748769</v>
      </c>
      <c r="AL24" s="23" t="n">
        <f aca="false">AL17+AL18+AL21+AL22+AL23</f>
        <v>182833.960659563</v>
      </c>
      <c r="AM24" s="23" t="n">
        <f aca="false">AM17+AM18+AM21+AM22+AM23</f>
        <v>191424.98301635</v>
      </c>
      <c r="AN24" s="23" t="n">
        <f aca="false">AN17+AN18+AN21+AN22+AN23</f>
        <v>200378.848289522</v>
      </c>
      <c r="AO24" s="23" t="n">
        <f aca="false">AO17+AO18+AO21+AO22+AO23</f>
        <v>209713.542808743</v>
      </c>
      <c r="AP24" s="23" t="n">
        <f aca="false">AP17+AP18+AP21+AP22+AP23</f>
        <v>219447.734799039</v>
      </c>
      <c r="AQ24" s="23" t="n">
        <f aca="false">AQ17+AQ18+AQ21+AQ22+AQ23</f>
        <v>229600.816073728</v>
      </c>
      <c r="AR24" s="23" t="n">
        <f aca="false">AR17+AR18+AR21+AR22+AR23</f>
        <v>240192.944540079</v>
      </c>
      <c r="AS24" s="23" t="n">
        <f aca="false">AS17+AS18+AS21+AS22+AS23</f>
        <v>251245.087666439</v>
      </c>
      <c r="AT24" s="23" t="n">
        <f aca="false">AT17+AT18+AT21+AT22+AT23</f>
        <v>262779.067053735</v>
      </c>
      <c r="AU24" s="23" t="n">
        <f aca="false">AU17+AU18+AU21+AU22+AU23</f>
        <v>274817.604249584</v>
      </c>
      <c r="AV24" s="23" t="n">
        <f aca="false">AV17+AV18+AV21+AV22+AV23</f>
        <v>287384.367939685</v>
      </c>
      <c r="AW24" s="23" t="n">
        <f aca="false">AW17+AW18+AW21+AW22+AW23</f>
        <v>300504.022648516</v>
      </c>
      <c r="AX24" s="23" t="n">
        <f aca="false">AX17+AX18+AX21+AX22+AX23</f>
        <v>314202.279079646</v>
      </c>
      <c r="AY24" s="23" t="n">
        <f aca="false">AY17+AY18+AY21+AY22+AY23</f>
        <v>328505.946225014</v>
      </c>
      <c r="AZ24" s="23" t="n">
        <f aca="false">AZ17+AZ18+AZ21+AZ22+AZ23</f>
        <v>343442.985372325</v>
      </c>
      <c r="BA24" s="23" t="n">
        <f aca="false">BA17+BA18+BA21+BA22+BA23</f>
        <v>359042.56614017</v>
      </c>
      <c r="BB24" s="23" t="n">
        <f aca="false">BB17+BB18+BB21+BB22+BB23</f>
        <v>375335.124671585</v>
      </c>
      <c r="BC24" s="23" t="n">
        <f aca="false">BC17+BC18+BC21+BC22+BC23</f>
        <v>392352.42411844</v>
      </c>
      <c r="BD24" s="23" t="n">
        <f aca="false">BD17+BD18+BD21+BD22+BD23</f>
        <v>410127.617551259</v>
      </c>
      <c r="BE24" s="23" t="n">
        <f aca="false">BE17+BE18+BE21+BE22+BE23</f>
        <v>428695.313431833</v>
      </c>
      <c r="BF24" s="23" t="n">
        <f aca="false">BF17+BF18+BF21+BF22+BF23</f>
        <v>448091.643789217</v>
      </c>
      <c r="BG24" s="23" t="n">
        <f aca="false">BG17+BG18+BG21+BG22+BG23</f>
        <v>468334.906072953</v>
      </c>
      <c r="BH24" s="23" t="n">
        <f aca="false">BH17+BH18+BH21+BH22+BH23</f>
        <v>487926.131872098</v>
      </c>
      <c r="BI24" s="23" t="n">
        <f aca="false">BI17+BI18+BI21+BI22+BI23</f>
        <v>507008.264081949</v>
      </c>
      <c r="BJ24" s="23" t="n">
        <f aca="false">BJ17+BJ18+BJ21+BJ22+BJ23</f>
        <v>524540.924344548</v>
      </c>
      <c r="BK24" s="23" t="n">
        <f aca="false">BK17+BK18+BK21+BK22+BK23</f>
        <v>540665.626258489</v>
      </c>
    </row>
    <row r="26" customFormat="false" ht="15" hidden="false" customHeight="false" outlineLevel="0" collapsed="false">
      <c r="A26" s="12" t="s">
        <v>164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</row>
    <row r="27" customFormat="false" ht="15" hidden="false" customHeight="false" outlineLevel="0" collapsed="false">
      <c r="A27" s="9" t="s">
        <v>165</v>
      </c>
      <c r="B27" s="19" t="s">
        <v>155</v>
      </c>
      <c r="C27" s="22" t="n">
        <v>0</v>
      </c>
      <c r="D27" s="22" t="n">
        <f aca="false">D14*Premissas!$C$28</f>
        <v>2160</v>
      </c>
      <c r="E27" s="22" t="n">
        <f aca="false">E14*Premissas!$C$28</f>
        <v>4158</v>
      </c>
      <c r="F27" s="22" t="n">
        <f aca="false">F14*Premissas!$C$28</f>
        <v>6017.814</v>
      </c>
      <c r="G27" s="22" t="n">
        <f aca="false">G14*Premissas!$C$28</f>
        <v>7768.37115</v>
      </c>
      <c r="H27" s="22" t="n">
        <f aca="false">H14*Premissas!$C$28</f>
        <v>9427.44214935</v>
      </c>
      <c r="I27" s="22" t="n">
        <f aca="false">I14*Premissas!$C$28</f>
        <v>11010.9029015588</v>
      </c>
      <c r="J27" s="22" t="n">
        <f aca="false">J14*Premissas!$C$28</f>
        <v>12532.9709061423</v>
      </c>
      <c r="K27" s="22" t="n">
        <f aca="false">K14*Premissas!$C$28</f>
        <v>14006.4137899635</v>
      </c>
      <c r="L27" s="22" t="n">
        <f aca="false">L14*Premissas!$C$28</f>
        <v>15442.7333380695</v>
      </c>
      <c r="M27" s="22" t="n">
        <f aca="false">M14*Premissas!$C$28</f>
        <v>16852.3279819508</v>
      </c>
      <c r="N27" s="22" t="n">
        <f aca="false">N14*Premissas!$C$28</f>
        <v>18244.636349339</v>
      </c>
      <c r="O27" s="22" t="n">
        <f aca="false">O14*Premissas!$C$28</f>
        <v>19628.2641683417</v>
      </c>
      <c r="P27" s="22" t="n">
        <f aca="false">P14*Premissas!$C$28</f>
        <v>21011.0965447878</v>
      </c>
      <c r="Q27" s="22" t="n">
        <f aca="false">Q14*Premissas!$C$28</f>
        <v>22400.3973906367</v>
      </c>
      <c r="R27" s="22" t="n">
        <f aca="false">R14*Premissas!$C$28</f>
        <v>23802.8975692483</v>
      </c>
      <c r="S27" s="22" t="n">
        <f aca="false">S14*Premissas!$C$28</f>
        <v>25224.8731367415</v>
      </c>
      <c r="T27" s="22" t="n">
        <f aca="false">T14*Premissas!$C$28</f>
        <v>26672.2148945326</v>
      </c>
      <c r="U27" s="22" t="n">
        <f aca="false">U14*Premissas!$C$28</f>
        <v>28150.4903237545</v>
      </c>
      <c r="V27" s="22" t="n">
        <f aca="false">V14*Premissas!$C$28</f>
        <v>29664.9988452424</v>
      </c>
      <c r="W27" s="22" t="n">
        <f aca="false">W14*Premissas!$C$28</f>
        <v>31220.8212370525</v>
      </c>
      <c r="X27" s="22" t="n">
        <f aca="false">X14*Premissas!$C$28</f>
        <v>32822.8639432255</v>
      </c>
      <c r="Y27" s="22" t="n">
        <f aca="false">Y14*Premissas!$C$28</f>
        <v>34475.898921101</v>
      </c>
      <c r="Z27" s="22" t="n">
        <f aca="false">Z14*Premissas!$C$28</f>
        <v>36184.5995985154</v>
      </c>
      <c r="AA27" s="22" t="n">
        <f aca="false">AA14*Premissas!$C$28</f>
        <v>37953.5734454288</v>
      </c>
      <c r="AB27" s="22" t="n">
        <f aca="false">AB14*Premissas!$C$28</f>
        <v>39787.3916058188</v>
      </c>
      <c r="AC27" s="22" t="n">
        <f aca="false">AC14*Premissas!$C$28</f>
        <v>41690.6159840982</v>
      </c>
      <c r="AD27" s="22" t="n">
        <f aca="false">AD14*Premissas!$C$28</f>
        <v>43667.8241349927</v>
      </c>
      <c r="AE27" s="22" t="n">
        <f aca="false">AE14*Premissas!$C$28</f>
        <v>45723.63226602</v>
      </c>
      <c r="AF27" s="22" t="n">
        <f aca="false">AF14*Premissas!$C$28</f>
        <v>47862.7166267767</v>
      </c>
      <c r="AG27" s="22" t="n">
        <f aca="false">AG14*Premissas!$C$28</f>
        <v>50089.8335285871</v>
      </c>
      <c r="AH27" s="22" t="n">
        <f aca="false">AH14*Premissas!$C$28</f>
        <v>52409.8382111878</v>
      </c>
      <c r="AI27" s="22" t="n">
        <f aca="false">AI14*Premissas!$C$28</f>
        <v>54827.7027495708</v>
      </c>
      <c r="AJ27" s="22" t="n">
        <f aca="false">AJ14*Premissas!$C$28</f>
        <v>57348.5331734831</v>
      </c>
      <c r="AK27" s="22" t="n">
        <f aca="false">AK14*Premissas!$C$28</f>
        <v>59977.5859540432</v>
      </c>
      <c r="AL27" s="22" t="n">
        <f aca="false">AL14*Premissas!$C$28</f>
        <v>62720.283996176</v>
      </c>
      <c r="AM27" s="22" t="n">
        <f aca="false">AM14*Premissas!$C$28</f>
        <v>65582.23226182</v>
      </c>
      <c r="AN27" s="22" t="n">
        <f aca="false">AN14*Premissas!$C$28</f>
        <v>68569.2331368881</v>
      </c>
      <c r="AO27" s="22" t="n">
        <f aca="false">AO14*Premissas!$C$28</f>
        <v>71687.301644562</v>
      </c>
      <c r="AP27" s="22" t="n">
        <f aca="false">AP14*Premissas!$C$28</f>
        <v>74942.6805984802</v>
      </c>
      <c r="AQ27" s="22" t="n">
        <f aca="false">AQ14*Premissas!$C$28</f>
        <v>78341.855781593</v>
      </c>
      <c r="AR27" s="22" t="n">
        <f aca="false">AR14*Premissas!$C$28</f>
        <v>81891.5712297506</v>
      </c>
      <c r="AS27" s="22" t="n">
        <f aca="false">AS14*Premissas!$C$28</f>
        <v>85598.8446933506</v>
      </c>
      <c r="AT27" s="22" t="n">
        <f aca="false">AT14*Premissas!$C$28</f>
        <v>89470.9833454847</v>
      </c>
      <c r="AU27" s="22" t="n">
        <f aca="false">AU14*Premissas!$C$28</f>
        <v>93515.5998008967</v>
      </c>
      <c r="AV27" s="22" t="n">
        <f aca="false">AV14*Premissas!$C$28</f>
        <v>97740.6285066116</v>
      </c>
      <c r="AW27" s="22" t="n">
        <f aca="false">AW14*Premissas!$C$28</f>
        <v>102154.342562252</v>
      </c>
      <c r="AX27" s="22" t="n">
        <f aca="false">AX14*Premissas!$C$28</f>
        <v>106765.371025749</v>
      </c>
      <c r="AY27" s="22" t="n">
        <f aca="false">AY14*Premissas!$C$28</f>
        <v>111582.716758328</v>
      </c>
      <c r="AZ27" s="22" t="n">
        <f aca="false">AZ14*Premissas!$C$28</f>
        <v>116615.774861271</v>
      </c>
      <c r="BA27" s="22" t="n">
        <f aca="false">BA14*Premissas!$C$28</f>
        <v>121874.351755949</v>
      </c>
      <c r="BB27" s="22" t="n">
        <f aca="false">BB14*Premissas!$C$28</f>
        <v>127368.684958001</v>
      </c>
      <c r="BC27" s="22" t="n">
        <f aca="false">BC14*Premissas!$C$28</f>
        <v>133109.463596192</v>
      </c>
      <c r="BD27" s="22" t="n">
        <f aca="false">BD14*Premissas!$C$28</f>
        <v>139107.849726494</v>
      </c>
      <c r="BE27" s="22" t="n">
        <f aca="false">BE14*Premissas!$C$28</f>
        <v>145375.500492172</v>
      </c>
      <c r="BF27" s="22" t="n">
        <f aca="false">BF14*Premissas!$C$28</f>
        <v>151924.591181173</v>
      </c>
      <c r="BG27" s="22" t="n">
        <f aca="false">BG14*Premissas!$C$28</f>
        <v>158754.213580832</v>
      </c>
      <c r="BH27" s="22" t="n">
        <f aca="false">BH14*Premissas!$C$28</f>
        <v>164798.799866886</v>
      </c>
      <c r="BI27" s="22" t="n">
        <f aca="false">BI14*Premissas!$C$28</f>
        <v>170154.090142373</v>
      </c>
      <c r="BJ27" s="22" t="n">
        <f aca="false">BJ14*Premissas!$C$28</f>
        <v>174904.356809231</v>
      </c>
      <c r="BK27" s="22" t="n">
        <f aca="false">BK14*Premissas!$C$28</f>
        <v>179119.94602703</v>
      </c>
    </row>
    <row r="28" customFormat="false" ht="15" hidden="false" customHeight="false" outlineLevel="0" collapsed="false">
      <c r="A28" s="9" t="s">
        <v>166</v>
      </c>
      <c r="B28" s="19" t="s">
        <v>155</v>
      </c>
      <c r="C28" s="22" t="n">
        <v>0</v>
      </c>
      <c r="D28" s="22" t="n">
        <f aca="false">ROUNDUP(D13/Premissas!$C$29,0)*Premissas!$C$30</f>
        <v>0</v>
      </c>
      <c r="E28" s="22" t="n">
        <f aca="false">ROUNDUP(E13/Premissas!$C$29,0)*Premissas!$C$30</f>
        <v>0</v>
      </c>
      <c r="F28" s="22" t="n">
        <f aca="false">ROUNDUP(F13/Premissas!$C$29,0)*Premissas!$C$30</f>
        <v>9000</v>
      </c>
      <c r="G28" s="22" t="n">
        <f aca="false">ROUNDUP(G13/Premissas!$C$29,0)*Premissas!$C$30</f>
        <v>9000</v>
      </c>
      <c r="H28" s="22" t="n">
        <f aca="false">ROUNDUP(H13/Premissas!$C$29,0)*Premissas!$C$30</f>
        <v>9000</v>
      </c>
      <c r="I28" s="22" t="n">
        <f aca="false">ROUNDUP(I13/Premissas!$C$29,0)*Premissas!$C$30</f>
        <v>9000</v>
      </c>
      <c r="J28" s="22" t="n">
        <f aca="false">ROUNDUP(J13/Premissas!$C$29,0)*Premissas!$C$30</f>
        <v>9000</v>
      </c>
      <c r="K28" s="22" t="n">
        <f aca="false">ROUNDUP(K13/Premissas!$C$29,0)*Premissas!$C$30</f>
        <v>9000</v>
      </c>
      <c r="L28" s="22" t="n">
        <f aca="false">ROUNDUP(L13/Premissas!$C$29,0)*Premissas!$C$30</f>
        <v>9000</v>
      </c>
      <c r="M28" s="22" t="n">
        <f aca="false">ROUNDUP(M13/Premissas!$C$29,0)*Premissas!$C$30</f>
        <v>9000</v>
      </c>
      <c r="N28" s="22" t="n">
        <f aca="false">ROUNDUP(N13/Premissas!$C$29,0)*Premissas!$C$30</f>
        <v>9000</v>
      </c>
      <c r="O28" s="22" t="n">
        <f aca="false">ROUNDUP(O13/Premissas!$C$29,0)*Premissas!$C$30</f>
        <v>9000</v>
      </c>
      <c r="P28" s="22" t="n">
        <f aca="false">ROUNDUP(P13/Premissas!$C$29,0)*Premissas!$C$30</f>
        <v>9000</v>
      </c>
      <c r="Q28" s="22" t="n">
        <f aca="false">ROUNDUP(Q13/Premissas!$C$29,0)*Premissas!$C$30</f>
        <v>9000</v>
      </c>
      <c r="R28" s="22" t="n">
        <f aca="false">ROUNDUP(R13/Premissas!$C$29,0)*Premissas!$C$30</f>
        <v>9000</v>
      </c>
      <c r="S28" s="22" t="n">
        <f aca="false">ROUNDUP(S13/Premissas!$C$29,0)*Premissas!$C$30</f>
        <v>9000</v>
      </c>
      <c r="T28" s="22" t="n">
        <f aca="false">ROUNDUP(T13/Premissas!$C$29,0)*Premissas!$C$30</f>
        <v>9000</v>
      </c>
      <c r="U28" s="22" t="n">
        <f aca="false">ROUNDUP(U13/Premissas!$C$29,0)*Premissas!$C$30</f>
        <v>9000</v>
      </c>
      <c r="V28" s="22" t="n">
        <f aca="false">ROUNDUP(V13/Premissas!$C$29,0)*Premissas!$C$30</f>
        <v>9000</v>
      </c>
      <c r="W28" s="22" t="n">
        <f aca="false">ROUNDUP(W13/Premissas!$C$29,0)*Premissas!$C$30</f>
        <v>9000</v>
      </c>
      <c r="X28" s="22" t="n">
        <f aca="false">ROUNDUP(X13/Premissas!$C$29,0)*Premissas!$C$30</f>
        <v>9000</v>
      </c>
      <c r="Y28" s="22" t="n">
        <f aca="false">ROUNDUP(Y13/Premissas!$C$29,0)*Premissas!$C$30</f>
        <v>9000</v>
      </c>
      <c r="Z28" s="22" t="n">
        <f aca="false">ROUNDUP(Z13/Premissas!$C$29,0)*Premissas!$C$30</f>
        <v>9000</v>
      </c>
      <c r="AA28" s="22" t="n">
        <f aca="false">ROUNDUP(AA13/Premissas!$C$29,0)*Premissas!$C$30</f>
        <v>9000</v>
      </c>
      <c r="AB28" s="22" t="n">
        <f aca="false">ROUNDUP(AB13/Premissas!$C$29,0)*Premissas!$C$30</f>
        <v>9000</v>
      </c>
      <c r="AC28" s="22" t="n">
        <f aca="false">ROUNDUP(AC13/Premissas!$C$29,0)*Premissas!$C$30</f>
        <v>9000</v>
      </c>
      <c r="AD28" s="22" t="n">
        <f aca="false">ROUNDUP(AD13/Premissas!$C$29,0)*Premissas!$C$30</f>
        <v>9000</v>
      </c>
      <c r="AE28" s="22" t="n">
        <f aca="false">ROUNDUP(AE13/Premissas!$C$29,0)*Premissas!$C$30</f>
        <v>9000</v>
      </c>
      <c r="AF28" s="22" t="n">
        <f aca="false">ROUNDUP(AF13/Premissas!$C$29,0)*Premissas!$C$30</f>
        <v>9000</v>
      </c>
      <c r="AG28" s="22" t="n">
        <f aca="false">ROUNDUP(AG13/Premissas!$C$29,0)*Premissas!$C$30</f>
        <v>9000</v>
      </c>
      <c r="AH28" s="22" t="n">
        <f aca="false">ROUNDUP(AH13/Premissas!$C$29,0)*Premissas!$C$30</f>
        <v>9000</v>
      </c>
      <c r="AI28" s="22" t="n">
        <f aca="false">ROUNDUP(AI13/Premissas!$C$29,0)*Premissas!$C$30</f>
        <v>9000</v>
      </c>
      <c r="AJ28" s="22" t="n">
        <f aca="false">ROUNDUP(AJ13/Premissas!$C$29,0)*Premissas!$C$30</f>
        <v>9000</v>
      </c>
      <c r="AK28" s="22" t="n">
        <f aca="false">ROUNDUP(AK13/Premissas!$C$29,0)*Premissas!$C$30</f>
        <v>9000</v>
      </c>
      <c r="AL28" s="22" t="n">
        <f aca="false">ROUNDUP(AL13/Premissas!$C$29,0)*Premissas!$C$30</f>
        <v>9000</v>
      </c>
      <c r="AM28" s="22" t="n">
        <f aca="false">ROUNDUP(AM13/Premissas!$C$29,0)*Premissas!$C$30</f>
        <v>9000</v>
      </c>
      <c r="AN28" s="22" t="n">
        <f aca="false">ROUNDUP(AN13/Premissas!$C$29,0)*Premissas!$C$30</f>
        <v>9000</v>
      </c>
      <c r="AO28" s="22" t="n">
        <f aca="false">ROUNDUP(AO13/Premissas!$C$29,0)*Premissas!$C$30</f>
        <v>9000</v>
      </c>
      <c r="AP28" s="22" t="n">
        <f aca="false">ROUNDUP(AP13/Premissas!$C$29,0)*Premissas!$C$30</f>
        <v>9000</v>
      </c>
      <c r="AQ28" s="22" t="n">
        <f aca="false">ROUNDUP(AQ13/Premissas!$C$29,0)*Premissas!$C$30</f>
        <v>9000</v>
      </c>
      <c r="AR28" s="22" t="n">
        <f aca="false">ROUNDUP(AR13/Premissas!$C$29,0)*Premissas!$C$30</f>
        <v>9000</v>
      </c>
      <c r="AS28" s="22" t="n">
        <f aca="false">ROUNDUP(AS13/Premissas!$C$29,0)*Premissas!$C$30</f>
        <v>9000</v>
      </c>
      <c r="AT28" s="22" t="n">
        <f aca="false">ROUNDUP(AT13/Premissas!$C$29,0)*Premissas!$C$30</f>
        <v>9000</v>
      </c>
      <c r="AU28" s="22" t="n">
        <f aca="false">ROUNDUP(AU13/Premissas!$C$29,0)*Premissas!$C$30</f>
        <v>9000</v>
      </c>
      <c r="AV28" s="22" t="n">
        <f aca="false">ROUNDUP(AV13/Premissas!$C$29,0)*Premissas!$C$30</f>
        <v>9000</v>
      </c>
      <c r="AW28" s="22" t="n">
        <f aca="false">ROUNDUP(AW13/Premissas!$C$29,0)*Premissas!$C$30</f>
        <v>9000</v>
      </c>
      <c r="AX28" s="22" t="n">
        <f aca="false">ROUNDUP(AX13/Premissas!$C$29,0)*Premissas!$C$30</f>
        <v>9000</v>
      </c>
      <c r="AY28" s="22" t="n">
        <f aca="false">ROUNDUP(AY13/Premissas!$C$29,0)*Premissas!$C$30</f>
        <v>9000</v>
      </c>
      <c r="AZ28" s="22" t="n">
        <f aca="false">ROUNDUP(AZ13/Premissas!$C$29,0)*Premissas!$C$30</f>
        <v>9000</v>
      </c>
      <c r="BA28" s="22" t="n">
        <f aca="false">ROUNDUP(BA13/Premissas!$C$29,0)*Premissas!$C$30</f>
        <v>9000</v>
      </c>
      <c r="BB28" s="22" t="n">
        <f aca="false">ROUNDUP(BB13/Premissas!$C$29,0)*Premissas!$C$30</f>
        <v>9000</v>
      </c>
      <c r="BC28" s="22" t="n">
        <f aca="false">ROUNDUP(BC13/Premissas!$C$29,0)*Premissas!$C$30</f>
        <v>18000</v>
      </c>
      <c r="BD28" s="22" t="n">
        <f aca="false">ROUNDUP(BD13/Premissas!$C$29,0)*Premissas!$C$30</f>
        <v>18000</v>
      </c>
      <c r="BE28" s="22" t="n">
        <f aca="false">ROUNDUP(BE13/Premissas!$C$29,0)*Premissas!$C$30</f>
        <v>18000</v>
      </c>
      <c r="BF28" s="22" t="n">
        <f aca="false">ROUNDUP(BF13/Premissas!$C$29,0)*Premissas!$C$30</f>
        <v>18000</v>
      </c>
      <c r="BG28" s="22" t="n">
        <f aca="false">ROUNDUP(BG13/Premissas!$C$29,0)*Premissas!$C$30</f>
        <v>18000</v>
      </c>
      <c r="BH28" s="22" t="n">
        <f aca="false">ROUNDUP(BH13/Premissas!$C$29,0)*Premissas!$C$30</f>
        <v>18000</v>
      </c>
      <c r="BI28" s="22" t="n">
        <f aca="false">ROUNDUP(BI13/Premissas!$C$29,0)*Premissas!$C$30</f>
        <v>18000</v>
      </c>
      <c r="BJ28" s="22" t="n">
        <f aca="false">ROUNDUP(BJ13/Premissas!$C$29,0)*Premissas!$C$30</f>
        <v>18000</v>
      </c>
      <c r="BK28" s="22" t="n">
        <f aca="false">ROUNDUP(BK13/Premissas!$C$29,0)*Premissas!$C$30</f>
        <v>18000</v>
      </c>
    </row>
    <row r="29" customFormat="false" ht="15" hidden="false" customHeight="false" outlineLevel="0" collapsed="false">
      <c r="A29" s="9" t="s">
        <v>167</v>
      </c>
      <c r="B29" s="19" t="s">
        <v>155</v>
      </c>
      <c r="C29" s="22" t="n">
        <v>0</v>
      </c>
      <c r="D29" s="22" t="n">
        <f aca="false">D6*Premissas!$C$27</f>
        <v>17600</v>
      </c>
      <c r="E29" s="22" t="n">
        <f aca="false">E6*Premissas!$C$27</f>
        <v>18392</v>
      </c>
      <c r="F29" s="22" t="n">
        <f aca="false">F6*Premissas!$C$27</f>
        <v>19219.64</v>
      </c>
      <c r="G29" s="22" t="n">
        <f aca="false">G6*Premissas!$C$27</f>
        <v>20084.5238</v>
      </c>
      <c r="H29" s="22" t="n">
        <f aca="false">H6*Premissas!$C$27</f>
        <v>20988.327371</v>
      </c>
      <c r="I29" s="22" t="n">
        <f aca="false">I6*Premissas!$C$27</f>
        <v>21932.802102695</v>
      </c>
      <c r="J29" s="22" t="n">
        <f aca="false">J6*Premissas!$C$27</f>
        <v>22919.7781973163</v>
      </c>
      <c r="K29" s="22" t="n">
        <f aca="false">K6*Premissas!$C$27</f>
        <v>23951.1682161955</v>
      </c>
      <c r="L29" s="22" t="n">
        <f aca="false">L6*Premissas!$C$27</f>
        <v>25028.9707859243</v>
      </c>
      <c r="M29" s="22" t="n">
        <f aca="false">M6*Premissas!$C$27</f>
        <v>26155.2744712909</v>
      </c>
      <c r="N29" s="22" t="n">
        <f aca="false">N6*Premissas!$C$27</f>
        <v>27332.261822499</v>
      </c>
      <c r="O29" s="22" t="n">
        <f aca="false">O6*Premissas!$C$27</f>
        <v>28562.2136045114</v>
      </c>
      <c r="P29" s="22" t="n">
        <f aca="false">P6*Premissas!$C$27</f>
        <v>29847.5132167144</v>
      </c>
      <c r="Q29" s="22" t="n">
        <f aca="false">Q6*Premissas!$C$27</f>
        <v>31190.6513114666</v>
      </c>
      <c r="R29" s="22" t="n">
        <f aca="false">R6*Premissas!$C$27</f>
        <v>32594.2306204826</v>
      </c>
      <c r="S29" s="22" t="n">
        <f aca="false">S6*Premissas!$C$27</f>
        <v>34060.9709984043</v>
      </c>
      <c r="T29" s="22" t="n">
        <f aca="false">T6*Premissas!$C$27</f>
        <v>35593.7146933325</v>
      </c>
      <c r="U29" s="22" t="n">
        <f aca="false">U6*Premissas!$C$27</f>
        <v>37195.4318545324</v>
      </c>
      <c r="V29" s="22" t="n">
        <f aca="false">V6*Premissas!$C$27</f>
        <v>38869.2262879864</v>
      </c>
      <c r="W29" s="22" t="n">
        <f aca="false">W6*Premissas!$C$27</f>
        <v>40618.3414709458</v>
      </c>
      <c r="X29" s="22" t="n">
        <f aca="false">X6*Premissas!$C$27</f>
        <v>42446.1668371383</v>
      </c>
      <c r="Y29" s="22" t="n">
        <f aca="false">Y6*Premissas!$C$27</f>
        <v>44356.2443448096</v>
      </c>
      <c r="Z29" s="22" t="n">
        <f aca="false">Z6*Premissas!$C$27</f>
        <v>46352.275340326</v>
      </c>
      <c r="AA29" s="22" t="n">
        <f aca="false">AA6*Premissas!$C$27</f>
        <v>48438.1277306407</v>
      </c>
      <c r="AB29" s="22" t="n">
        <f aca="false">AB6*Premissas!$C$27</f>
        <v>50617.8434785195</v>
      </c>
      <c r="AC29" s="22" t="n">
        <f aca="false">AC6*Premissas!$C$27</f>
        <v>52895.6464350529</v>
      </c>
      <c r="AD29" s="22" t="n">
        <f aca="false">AD6*Premissas!$C$27</f>
        <v>55275.9505246302</v>
      </c>
      <c r="AE29" s="22" t="n">
        <f aca="false">AE6*Premissas!$C$27</f>
        <v>57763.3682982386</v>
      </c>
      <c r="AF29" s="22" t="n">
        <f aca="false">AF6*Premissas!$C$27</f>
        <v>60362.7198716593</v>
      </c>
      <c r="AG29" s="22" t="n">
        <f aca="false">AG6*Premissas!$C$27</f>
        <v>63079.042265884</v>
      </c>
      <c r="AH29" s="22" t="n">
        <f aca="false">AH6*Premissas!$C$27</f>
        <v>65917.5991678488</v>
      </c>
      <c r="AI29" s="22" t="n">
        <f aca="false">AI6*Premissas!$C$27</f>
        <v>68883.891130402</v>
      </c>
      <c r="AJ29" s="22" t="n">
        <f aca="false">AJ6*Premissas!$C$27</f>
        <v>71983.6662312701</v>
      </c>
      <c r="AK29" s="22" t="n">
        <f aca="false">AK6*Premissas!$C$27</f>
        <v>75222.9312116772</v>
      </c>
      <c r="AL29" s="22" t="n">
        <f aca="false">AL6*Premissas!$C$27</f>
        <v>78607.9631162027</v>
      </c>
      <c r="AM29" s="22" t="n">
        <f aca="false">AM6*Premissas!$C$27</f>
        <v>82145.3214564318</v>
      </c>
      <c r="AN29" s="22" t="n">
        <f aca="false">AN6*Premissas!$C$27</f>
        <v>85841.8609219712</v>
      </c>
      <c r="AO29" s="22" t="n">
        <f aca="false">AO6*Premissas!$C$27</f>
        <v>89704.7446634599</v>
      </c>
      <c r="AP29" s="22" t="n">
        <f aca="false">AP6*Premissas!$C$27</f>
        <v>93741.4581733156</v>
      </c>
      <c r="AQ29" s="22" t="n">
        <f aca="false">AQ6*Premissas!$C$27</f>
        <v>97959.8237911148</v>
      </c>
      <c r="AR29" s="22" t="n">
        <f aca="false">AR6*Premissas!$C$27</f>
        <v>102368.015861715</v>
      </c>
      <c r="AS29" s="22" t="n">
        <f aca="false">AS6*Premissas!$C$27</f>
        <v>106974.576575492</v>
      </c>
      <c r="AT29" s="22" t="n">
        <f aca="false">AT6*Premissas!$C$27</f>
        <v>111788.432521389</v>
      </c>
      <c r="AU29" s="22" t="n">
        <f aca="false">AU6*Premissas!$C$27</f>
        <v>116818.911984852</v>
      </c>
      <c r="AV29" s="22" t="n">
        <f aca="false">AV6*Premissas!$C$27</f>
        <v>122075.76302417</v>
      </c>
      <c r="AW29" s="22" t="n">
        <f aca="false">AW6*Premissas!$C$27</f>
        <v>127569.172360258</v>
      </c>
      <c r="AX29" s="22" t="n">
        <f aca="false">AX6*Premissas!$C$27</f>
        <v>133309.785116469</v>
      </c>
      <c r="AY29" s="22" t="n">
        <f aca="false">AY6*Premissas!$C$27</f>
        <v>139308.72544671</v>
      </c>
      <c r="AZ29" s="22" t="n">
        <f aca="false">AZ6*Premissas!$C$27</f>
        <v>145577.618091812</v>
      </c>
      <c r="BA29" s="22" t="n">
        <f aca="false">BA6*Premissas!$C$27</f>
        <v>152128.610905944</v>
      </c>
      <c r="BB29" s="22" t="n">
        <f aca="false">BB6*Premissas!$C$27</f>
        <v>158974.398396711</v>
      </c>
      <c r="BC29" s="22" t="n">
        <f aca="false">BC6*Premissas!$C$27</f>
        <v>166128.246324563</v>
      </c>
      <c r="BD29" s="22" t="n">
        <f aca="false">BD6*Premissas!$C$27</f>
        <v>173604.017409169</v>
      </c>
      <c r="BE29" s="22" t="n">
        <f aca="false">BE6*Premissas!$C$27</f>
        <v>181416.198192581</v>
      </c>
      <c r="BF29" s="22" t="n">
        <f aca="false">BF6*Premissas!$C$27</f>
        <v>189579.927111248</v>
      </c>
      <c r="BG29" s="22" t="n">
        <f aca="false">BG6*Premissas!$C$27</f>
        <v>198000</v>
      </c>
      <c r="BH29" s="22" t="n">
        <f aca="false">BH6*Premissas!$C$27</f>
        <v>198000</v>
      </c>
      <c r="BI29" s="22" t="n">
        <f aca="false">BI6*Premissas!$C$27</f>
        <v>198000</v>
      </c>
      <c r="BJ29" s="22" t="n">
        <f aca="false">BJ6*Premissas!$C$27</f>
        <v>198000</v>
      </c>
      <c r="BK29" s="22" t="n">
        <f aca="false">BK6*Premissas!$C$27</f>
        <v>198000</v>
      </c>
    </row>
    <row r="30" customFormat="false" ht="15" hidden="false" customHeight="false" outlineLevel="0" collapsed="false">
      <c r="A30" s="9" t="s">
        <v>168</v>
      </c>
      <c r="B30" s="19" t="s">
        <v>155</v>
      </c>
      <c r="C30" s="22" t="n">
        <v>0</v>
      </c>
      <c r="D30" s="22" t="n">
        <f aca="false">Premissas!$C$31</f>
        <v>4500</v>
      </c>
      <c r="E30" s="22" t="n">
        <f aca="false">Premissas!$C$31</f>
        <v>4500</v>
      </c>
      <c r="F30" s="22" t="n">
        <f aca="false">Premissas!$C$31</f>
        <v>4500</v>
      </c>
      <c r="G30" s="22" t="n">
        <f aca="false">Premissas!$C$31</f>
        <v>4500</v>
      </c>
      <c r="H30" s="22" t="n">
        <f aca="false">Premissas!$C$31</f>
        <v>4500</v>
      </c>
      <c r="I30" s="22" t="n">
        <f aca="false">Premissas!$C$31</f>
        <v>4500</v>
      </c>
      <c r="J30" s="22" t="n">
        <f aca="false">Premissas!$C$31</f>
        <v>4500</v>
      </c>
      <c r="K30" s="22" t="n">
        <f aca="false">Premissas!$C$31</f>
        <v>4500</v>
      </c>
      <c r="L30" s="22" t="n">
        <f aca="false">Premissas!$C$31</f>
        <v>4500</v>
      </c>
      <c r="M30" s="22" t="n">
        <f aca="false">Premissas!$C$31</f>
        <v>4500</v>
      </c>
      <c r="N30" s="22" t="n">
        <f aca="false">Premissas!$C$31</f>
        <v>4500</v>
      </c>
      <c r="O30" s="22" t="n">
        <f aca="false">Premissas!$C$31</f>
        <v>4500</v>
      </c>
      <c r="P30" s="22" t="n">
        <f aca="false">Premissas!$C$31</f>
        <v>4500</v>
      </c>
      <c r="Q30" s="22" t="n">
        <f aca="false">Premissas!$C$31</f>
        <v>4500</v>
      </c>
      <c r="R30" s="22" t="n">
        <f aca="false">Premissas!$C$31</f>
        <v>4500</v>
      </c>
      <c r="S30" s="22" t="n">
        <f aca="false">Premissas!$C$31</f>
        <v>4500</v>
      </c>
      <c r="T30" s="22" t="n">
        <f aca="false">Premissas!$C$31</f>
        <v>4500</v>
      </c>
      <c r="U30" s="22" t="n">
        <f aca="false">Premissas!$C$31</f>
        <v>4500</v>
      </c>
      <c r="V30" s="22" t="n">
        <f aca="false">Premissas!$C$31</f>
        <v>4500</v>
      </c>
      <c r="W30" s="22" t="n">
        <f aca="false">Premissas!$C$31</f>
        <v>4500</v>
      </c>
      <c r="X30" s="22" t="n">
        <f aca="false">Premissas!$C$31</f>
        <v>4500</v>
      </c>
      <c r="Y30" s="22" t="n">
        <f aca="false">Premissas!$C$31</f>
        <v>4500</v>
      </c>
      <c r="Z30" s="22" t="n">
        <f aca="false">Premissas!$C$31</f>
        <v>4500</v>
      </c>
      <c r="AA30" s="22" t="n">
        <f aca="false">Premissas!$C$31</f>
        <v>4500</v>
      </c>
      <c r="AB30" s="22" t="n">
        <f aca="false">Premissas!$C$31</f>
        <v>4500</v>
      </c>
      <c r="AC30" s="22" t="n">
        <f aca="false">Premissas!$C$31</f>
        <v>4500</v>
      </c>
      <c r="AD30" s="22" t="n">
        <f aca="false">Premissas!$C$31</f>
        <v>4500</v>
      </c>
      <c r="AE30" s="22" t="n">
        <f aca="false">Premissas!$C$31</f>
        <v>4500</v>
      </c>
      <c r="AF30" s="22" t="n">
        <f aca="false">Premissas!$C$31</f>
        <v>4500</v>
      </c>
      <c r="AG30" s="22" t="n">
        <f aca="false">Premissas!$C$31</f>
        <v>4500</v>
      </c>
      <c r="AH30" s="22" t="n">
        <f aca="false">Premissas!$C$31</f>
        <v>4500</v>
      </c>
      <c r="AI30" s="22" t="n">
        <f aca="false">Premissas!$C$31</f>
        <v>4500</v>
      </c>
      <c r="AJ30" s="22" t="n">
        <f aca="false">Premissas!$C$31</f>
        <v>4500</v>
      </c>
      <c r="AK30" s="22" t="n">
        <f aca="false">Premissas!$C$31</f>
        <v>4500</v>
      </c>
      <c r="AL30" s="22" t="n">
        <f aca="false">Premissas!$C$31</f>
        <v>4500</v>
      </c>
      <c r="AM30" s="22" t="n">
        <f aca="false">Premissas!$C$31</f>
        <v>4500</v>
      </c>
      <c r="AN30" s="22" t="n">
        <f aca="false">Premissas!$C$31</f>
        <v>4500</v>
      </c>
      <c r="AO30" s="22" t="n">
        <f aca="false">Premissas!$C$31</f>
        <v>4500</v>
      </c>
      <c r="AP30" s="22" t="n">
        <f aca="false">Premissas!$C$31</f>
        <v>4500</v>
      </c>
      <c r="AQ30" s="22" t="n">
        <f aca="false">Premissas!$C$31</f>
        <v>4500</v>
      </c>
      <c r="AR30" s="22" t="n">
        <f aca="false">Premissas!$C$31</f>
        <v>4500</v>
      </c>
      <c r="AS30" s="22" t="n">
        <f aca="false">Premissas!$C$31</f>
        <v>4500</v>
      </c>
      <c r="AT30" s="22" t="n">
        <f aca="false">Premissas!$C$31</f>
        <v>4500</v>
      </c>
      <c r="AU30" s="22" t="n">
        <f aca="false">Premissas!$C$31</f>
        <v>4500</v>
      </c>
      <c r="AV30" s="22" t="n">
        <f aca="false">Premissas!$C$31</f>
        <v>4500</v>
      </c>
      <c r="AW30" s="22" t="n">
        <f aca="false">Premissas!$C$31</f>
        <v>4500</v>
      </c>
      <c r="AX30" s="22" t="n">
        <f aca="false">Premissas!$C$31</f>
        <v>4500</v>
      </c>
      <c r="AY30" s="22" t="n">
        <f aca="false">Premissas!$C$31</f>
        <v>4500</v>
      </c>
      <c r="AZ30" s="22" t="n">
        <f aca="false">Premissas!$C$31</f>
        <v>4500</v>
      </c>
      <c r="BA30" s="22" t="n">
        <f aca="false">Premissas!$C$31</f>
        <v>4500</v>
      </c>
      <c r="BB30" s="22" t="n">
        <f aca="false">Premissas!$C$31</f>
        <v>4500</v>
      </c>
      <c r="BC30" s="22" t="n">
        <f aca="false">Premissas!$C$31</f>
        <v>4500</v>
      </c>
      <c r="BD30" s="22" t="n">
        <f aca="false">Premissas!$C$31</f>
        <v>4500</v>
      </c>
      <c r="BE30" s="22" t="n">
        <f aca="false">Premissas!$C$31</f>
        <v>4500</v>
      </c>
      <c r="BF30" s="22" t="n">
        <f aca="false">Premissas!$C$31</f>
        <v>4500</v>
      </c>
      <c r="BG30" s="22" t="n">
        <f aca="false">Premissas!$C$31</f>
        <v>4500</v>
      </c>
      <c r="BH30" s="22" t="n">
        <f aca="false">Premissas!$C$31</f>
        <v>4500</v>
      </c>
      <c r="BI30" s="22" t="n">
        <f aca="false">Premissas!$C$31</f>
        <v>4500</v>
      </c>
      <c r="BJ30" s="22" t="n">
        <f aca="false">Premissas!$C$31</f>
        <v>4500</v>
      </c>
      <c r="BK30" s="22" t="n">
        <f aca="false">Premissas!$C$31</f>
        <v>4500</v>
      </c>
    </row>
    <row r="31" customFormat="false" ht="15" hidden="false" customHeight="false" outlineLevel="0" collapsed="false">
      <c r="A31" s="9" t="s">
        <v>169</v>
      </c>
      <c r="B31" s="19" t="s">
        <v>155</v>
      </c>
      <c r="C31" s="22" t="n">
        <v>0</v>
      </c>
      <c r="D31" s="22" t="n">
        <f aca="false">D24*Premissas!$C$32</f>
        <v>308</v>
      </c>
      <c r="E31" s="22" t="n">
        <f aca="false">E24*Premissas!$C$32</f>
        <v>592.9</v>
      </c>
      <c r="F31" s="22" t="n">
        <f aca="false">F24*Premissas!$C$32</f>
        <v>1094.7357</v>
      </c>
      <c r="G31" s="22" t="n">
        <f aca="false">G24*Premissas!$C$32</f>
        <v>1577.4425825</v>
      </c>
      <c r="H31" s="22" t="n">
        <f aca="false">H24*Premissas!$C$32</f>
        <v>2044.2467895925</v>
      </c>
      <c r="I31" s="22" t="n">
        <f aca="false">I24*Premissas!$C$32</f>
        <v>2498.08431301856</v>
      </c>
      <c r="J31" s="22" t="n">
        <f aca="false">J24*Premissas!$C$32</f>
        <v>2941.63687025627</v>
      </c>
      <c r="K31" s="22" t="n">
        <f aca="false">K24*Premissas!$C$32</f>
        <v>3377.36372147196</v>
      </c>
      <c r="L31" s="22" t="n">
        <f aca="false">L24*Premissas!$C$32</f>
        <v>3807.52991359754</v>
      </c>
      <c r="M31" s="22" t="n">
        <f aca="false">M24*Premissas!$C$32</f>
        <v>4234.23138012223</v>
      </c>
      <c r="N31" s="22" t="n">
        <f aca="false">N24*Premissas!$C$32</f>
        <v>4659.41727442082</v>
      </c>
      <c r="O31" s="22" t="n">
        <f aca="false">O24*Premissas!$C$32</f>
        <v>5084.90986975571</v>
      </c>
      <c r="P31" s="22" t="n">
        <f aca="false">P24*Premissas!$C$32</f>
        <v>5512.42231975903</v>
      </c>
      <c r="Q31" s="22" t="n">
        <f aca="false">Q24*Premissas!$C$32</f>
        <v>5943.57453858326</v>
      </c>
      <c r="R31" s="22" t="n">
        <f aca="false">R24*Premissas!$C$32</f>
        <v>6379.90742944037</v>
      </c>
      <c r="S31" s="22" t="n">
        <f aca="false">S24*Premissas!$C$32</f>
        <v>6822.89566343448</v>
      </c>
      <c r="T31" s="22" t="n">
        <f aca="false">T24*Premissas!$C$32</f>
        <v>7273.95918699435</v>
      </c>
      <c r="U31" s="22" t="n">
        <f aca="false">U24*Premissas!$C$32</f>
        <v>7734.47361544635</v>
      </c>
      <c r="V31" s="22" t="n">
        <f aca="false">V24*Premissas!$C$32</f>
        <v>8205.77965199619</v>
      </c>
      <c r="W31" s="22" t="n">
        <f aca="false">W24*Premissas!$C$32</f>
        <v>8689.19165531286</v>
      </c>
      <c r="X31" s="22" t="n">
        <f aca="false">X24*Premissas!$C$32</f>
        <v>9186.00546476713</v>
      </c>
      <c r="Y31" s="22" t="n">
        <f aca="false">Y24*Premissas!$C$32</f>
        <v>9697.50557994067</v>
      </c>
      <c r="Z31" s="22" t="n">
        <f aca="false">Z24*Premissas!$C$32</f>
        <v>10224.9717800862</v>
      </c>
      <c r="AA31" s="22" t="n">
        <f aca="false">AA24*Premissas!$C$32</f>
        <v>10769.6852596067</v>
      </c>
      <c r="AB31" s="22" t="n">
        <f aca="false">AB24*Premissas!$C$32</f>
        <v>11332.9343471747</v>
      </c>
      <c r="AC31" s="22" t="n">
        <f aca="false">AC24*Premissas!$C$32</f>
        <v>11916.019868692</v>
      </c>
      <c r="AD31" s="22" t="n">
        <f aca="false">AD24*Premissas!$C$32</f>
        <v>12520.2602077784</v>
      </c>
      <c r="AE31" s="22" t="n">
        <f aca="false">AE24*Premissas!$C$32</f>
        <v>13146.9961117599</v>
      </c>
      <c r="AF31" s="22" t="n">
        <f aca="false">AF24*Premissas!$C$32</f>
        <v>13797.5952861183</v>
      </c>
      <c r="AG31" s="22" t="n">
        <f aca="false">AG24*Premissas!$C$32</f>
        <v>14473.4568159736</v>
      </c>
      <c r="AH31" s="22" t="n">
        <f aca="false">AH24*Premissas!$C$32</f>
        <v>15176.015449331</v>
      </c>
      <c r="AI31" s="22" t="n">
        <f aca="false">AI24*Premissas!$C$32</f>
        <v>15906.7457734671</v>
      </c>
      <c r="AJ31" s="22" t="n">
        <f aca="false">AJ24*Premissas!$C$32</f>
        <v>16667.1663129052</v>
      </c>
      <c r="AK31" s="22" t="n">
        <f aca="false">AK24*Premissas!$C$32</f>
        <v>17458.8435748769</v>
      </c>
      <c r="AL31" s="22" t="n">
        <f aca="false">AL24*Premissas!$C$32</f>
        <v>18283.3960659563</v>
      </c>
      <c r="AM31" s="22" t="n">
        <f aca="false">AM24*Premissas!$C$32</f>
        <v>19142.498301635</v>
      </c>
      <c r="AN31" s="22" t="n">
        <f aca="false">AN24*Premissas!$C$32</f>
        <v>20037.8848289522</v>
      </c>
      <c r="AO31" s="22" t="n">
        <f aca="false">AO24*Premissas!$C$32</f>
        <v>20971.3542808743</v>
      </c>
      <c r="AP31" s="22" t="n">
        <f aca="false">AP24*Premissas!$C$32</f>
        <v>21944.7734799039</v>
      </c>
      <c r="AQ31" s="22" t="n">
        <f aca="false">AQ24*Premissas!$C$32</f>
        <v>22960.0816073728</v>
      </c>
      <c r="AR31" s="22" t="n">
        <f aca="false">AR24*Premissas!$C$32</f>
        <v>24019.2944540079</v>
      </c>
      <c r="AS31" s="22" t="n">
        <f aca="false">AS24*Premissas!$C$32</f>
        <v>25124.5087666439</v>
      </c>
      <c r="AT31" s="22" t="n">
        <f aca="false">AT24*Premissas!$C$32</f>
        <v>26277.9067053735</v>
      </c>
      <c r="AU31" s="22" t="n">
        <f aca="false">AU24*Premissas!$C$32</f>
        <v>27481.7604249584</v>
      </c>
      <c r="AV31" s="22" t="n">
        <f aca="false">AV24*Premissas!$C$32</f>
        <v>28738.4367939685</v>
      </c>
      <c r="AW31" s="22" t="n">
        <f aca="false">AW24*Premissas!$C$32</f>
        <v>30050.4022648516</v>
      </c>
      <c r="AX31" s="22" t="n">
        <f aca="false">AX24*Premissas!$C$32</f>
        <v>31420.2279079646</v>
      </c>
      <c r="AY31" s="22" t="n">
        <f aca="false">AY24*Premissas!$C$32</f>
        <v>32850.5946225014</v>
      </c>
      <c r="AZ31" s="22" t="n">
        <f aca="false">AZ24*Premissas!$C$32</f>
        <v>34344.2985372325</v>
      </c>
      <c r="BA31" s="22" t="n">
        <f aca="false">BA24*Premissas!$C$32</f>
        <v>35904.256614017</v>
      </c>
      <c r="BB31" s="22" t="n">
        <f aca="false">BB24*Premissas!$C$32</f>
        <v>37533.5124671585</v>
      </c>
      <c r="BC31" s="22" t="n">
        <f aca="false">BC24*Premissas!$C$32</f>
        <v>39235.242411844</v>
      </c>
      <c r="BD31" s="22" t="n">
        <f aca="false">BD24*Premissas!$C$32</f>
        <v>41012.7617551259</v>
      </c>
      <c r="BE31" s="22" t="n">
        <f aca="false">BE24*Premissas!$C$32</f>
        <v>42869.5313431833</v>
      </c>
      <c r="BF31" s="22" t="n">
        <f aca="false">BF24*Premissas!$C$32</f>
        <v>44809.1643789217</v>
      </c>
      <c r="BG31" s="22" t="n">
        <f aca="false">BG24*Premissas!$C$32</f>
        <v>46833.4906072953</v>
      </c>
      <c r="BH31" s="22" t="n">
        <f aca="false">BH24*Premissas!$C$32</f>
        <v>48792.6131872098</v>
      </c>
      <c r="BI31" s="22" t="n">
        <f aca="false">BI24*Premissas!$C$32</f>
        <v>50700.8264081949</v>
      </c>
      <c r="BJ31" s="22" t="n">
        <f aca="false">BJ24*Premissas!$C$32</f>
        <v>52454.0924344548</v>
      </c>
      <c r="BK31" s="22" t="n">
        <f aca="false">BK24*Premissas!$C$32</f>
        <v>54066.5626258489</v>
      </c>
    </row>
    <row r="32" customFormat="false" ht="15" hidden="false" customHeight="false" outlineLevel="0" collapsed="false">
      <c r="A32" s="13" t="s">
        <v>170</v>
      </c>
      <c r="B32" s="19" t="s">
        <v>155</v>
      </c>
      <c r="C32" s="23" t="n">
        <v>0</v>
      </c>
      <c r="D32" s="23" t="n">
        <f aca="false">D27+D28+D29+D30+D31</f>
        <v>24568</v>
      </c>
      <c r="E32" s="23" t="n">
        <f aca="false">E27+E28+E29+E30+E31</f>
        <v>27642.9</v>
      </c>
      <c r="F32" s="23" t="n">
        <f aca="false">F27+F28+F29+F30+F31</f>
        <v>39832.1897</v>
      </c>
      <c r="G32" s="23" t="n">
        <f aca="false">G27+G28+G29+G30+G31</f>
        <v>42930.3375325</v>
      </c>
      <c r="H32" s="23" t="n">
        <f aca="false">H27+H28+H29+H30+H31</f>
        <v>45960.0163099425</v>
      </c>
      <c r="I32" s="23" t="n">
        <f aca="false">I27+I28+I29+I30+I31</f>
        <v>48941.7893172723</v>
      </c>
      <c r="J32" s="23" t="n">
        <f aca="false">J27+J28+J29+J30+J31</f>
        <v>51894.3859737149</v>
      </c>
      <c r="K32" s="23" t="n">
        <f aca="false">K27+K28+K29+K30+K31</f>
        <v>54834.945727631</v>
      </c>
      <c r="L32" s="23" t="n">
        <f aca="false">L27+L28+L29+L30+L31</f>
        <v>57779.2340375913</v>
      </c>
      <c r="M32" s="23" t="n">
        <f aca="false">M27+M28+M29+M30+M31</f>
        <v>60741.8338333639</v>
      </c>
      <c r="N32" s="23" t="n">
        <f aca="false">N27+N28+N29+N30+N31</f>
        <v>63736.3154462588</v>
      </c>
      <c r="O32" s="23" t="n">
        <f aca="false">O27+O28+O29+O30+O31</f>
        <v>66775.3876426089</v>
      </c>
      <c r="P32" s="23" t="n">
        <f aca="false">P27+P28+P29+P30+P31</f>
        <v>69871.0320812613</v>
      </c>
      <c r="Q32" s="23" t="n">
        <f aca="false">Q27+Q28+Q29+Q30+Q31</f>
        <v>73034.6232406866</v>
      </c>
      <c r="R32" s="23" t="n">
        <f aca="false">R27+R28+R29+R30+R31</f>
        <v>76277.0356191713</v>
      </c>
      <c r="S32" s="23" t="n">
        <f aca="false">S27+S28+S29+S30+S31</f>
        <v>79608.7397985803</v>
      </c>
      <c r="T32" s="23" t="n">
        <f aca="false">T27+T28+T29+T30+T31</f>
        <v>83039.8887748594</v>
      </c>
      <c r="U32" s="23" t="n">
        <f aca="false">U27+U28+U29+U30+U31</f>
        <v>86580.3957937333</v>
      </c>
      <c r="V32" s="23" t="n">
        <f aca="false">V27+V28+V29+V30+V31</f>
        <v>90240.004785225</v>
      </c>
      <c r="W32" s="23" t="n">
        <f aca="false">W27+W28+W29+W30+W31</f>
        <v>94028.3543633111</v>
      </c>
      <c r="X32" s="23" t="n">
        <f aca="false">X27+X28+X29+X30+X31</f>
        <v>97955.036245131</v>
      </c>
      <c r="Y32" s="23" t="n">
        <f aca="false">Y27+Y28+Y29+Y30+Y31</f>
        <v>102029.648845851</v>
      </c>
      <c r="Z32" s="23" t="n">
        <f aca="false">Z27+Z28+Z29+Z30+Z31</f>
        <v>106261.846718928</v>
      </c>
      <c r="AA32" s="23" t="n">
        <f aca="false">AA27+AA28+AA29+AA30+AA31</f>
        <v>110661.386435676</v>
      </c>
      <c r="AB32" s="23" t="n">
        <f aca="false">AB27+AB28+AB29+AB30+AB31</f>
        <v>115238.169431513</v>
      </c>
      <c r="AC32" s="23" t="n">
        <f aca="false">AC27+AC28+AC29+AC30+AC31</f>
        <v>120002.282287843</v>
      </c>
      <c r="AD32" s="23" t="n">
        <f aca="false">AD27+AD28+AD29+AD30+AD31</f>
        <v>124964.034867401</v>
      </c>
      <c r="AE32" s="23" t="n">
        <f aca="false">AE27+AE28+AE29+AE30+AE31</f>
        <v>130133.996676018</v>
      </c>
      <c r="AF32" s="23" t="n">
        <f aca="false">AF27+AF28+AF29+AF30+AF31</f>
        <v>135523.031784554</v>
      </c>
      <c r="AG32" s="23" t="n">
        <f aca="false">AG27+AG28+AG29+AG30+AG31</f>
        <v>141142.332610445</v>
      </c>
      <c r="AH32" s="23" t="n">
        <f aca="false">AH27+AH28+AH29+AH30+AH31</f>
        <v>147003.452828368</v>
      </c>
      <c r="AI32" s="23" t="n">
        <f aca="false">AI27+AI28+AI29+AI30+AI31</f>
        <v>153118.33965344</v>
      </c>
      <c r="AJ32" s="23" t="n">
        <f aca="false">AJ27+AJ28+AJ29+AJ30+AJ31</f>
        <v>159499.365717658</v>
      </c>
      <c r="AK32" s="23" t="n">
        <f aca="false">AK27+AK28+AK29+AK30+AK31</f>
        <v>166159.360740597</v>
      </c>
      <c r="AL32" s="23" t="n">
        <f aca="false">AL27+AL28+AL29+AL30+AL31</f>
        <v>173111.643178335</v>
      </c>
      <c r="AM32" s="23" t="n">
        <f aca="false">AM27+AM28+AM29+AM30+AM31</f>
        <v>180370.052019887</v>
      </c>
      <c r="AN32" s="23" t="n">
        <f aca="false">AN27+AN28+AN29+AN30+AN31</f>
        <v>187948.978887811</v>
      </c>
      <c r="AO32" s="23" t="n">
        <f aca="false">AO27+AO28+AO29+AO30+AO31</f>
        <v>195863.400588896</v>
      </c>
      <c r="AP32" s="23" t="n">
        <f aca="false">AP27+AP28+AP29+AP30+AP31</f>
        <v>204128.9122517</v>
      </c>
      <c r="AQ32" s="23" t="n">
        <f aca="false">AQ27+AQ28+AQ29+AQ30+AQ31</f>
        <v>212761.761180081</v>
      </c>
      <c r="AR32" s="23" t="n">
        <f aca="false">AR27+AR28+AR29+AR30+AR31</f>
        <v>221778.881545473</v>
      </c>
      <c r="AS32" s="23" t="n">
        <f aca="false">AS27+AS28+AS29+AS30+AS31</f>
        <v>231197.930035487</v>
      </c>
      <c r="AT32" s="23" t="n">
        <f aca="false">AT27+AT28+AT29+AT30+AT31</f>
        <v>241037.322572247</v>
      </c>
      <c r="AU32" s="23" t="n">
        <f aca="false">AU27+AU28+AU29+AU30+AU31</f>
        <v>251316.272210707</v>
      </c>
      <c r="AV32" s="23" t="n">
        <f aca="false">AV27+AV28+AV29+AV30+AV31</f>
        <v>262054.82832475</v>
      </c>
      <c r="AW32" s="23" t="n">
        <f aca="false">AW27+AW28+AW29+AW30+AW31</f>
        <v>273273.917187362</v>
      </c>
      <c r="AX32" s="23" t="n">
        <f aca="false">AX27+AX28+AX29+AX30+AX31</f>
        <v>284995.384050183</v>
      </c>
      <c r="AY32" s="23" t="n">
        <f aca="false">AY27+AY28+AY29+AY30+AY31</f>
        <v>297242.03682754</v>
      </c>
      <c r="AZ32" s="23" t="n">
        <f aca="false">AZ27+AZ28+AZ29+AZ30+AZ31</f>
        <v>310037.691490316</v>
      </c>
      <c r="BA32" s="23" t="n">
        <f aca="false">BA27+BA28+BA29+BA30+BA31</f>
        <v>323407.21927591</v>
      </c>
      <c r="BB32" s="23" t="n">
        <f aca="false">BB27+BB28+BB29+BB30+BB31</f>
        <v>337376.595821871</v>
      </c>
      <c r="BC32" s="23" t="n">
        <f aca="false">BC27+BC28+BC29+BC30+BC31</f>
        <v>360972.9523326</v>
      </c>
      <c r="BD32" s="23" t="n">
        <f aca="false">BD27+BD28+BD29+BD30+BD31</f>
        <v>376224.628890788</v>
      </c>
      <c r="BE32" s="23" t="n">
        <f aca="false">BE27+BE28+BE29+BE30+BE31</f>
        <v>392161.230027937</v>
      </c>
      <c r="BF32" s="23" t="n">
        <f aca="false">BF27+BF28+BF29+BF30+BF31</f>
        <v>408813.682671342</v>
      </c>
      <c r="BG32" s="23" t="n">
        <f aca="false">BG27+BG28+BG29+BG30+BG31</f>
        <v>426087.704188127</v>
      </c>
      <c r="BH32" s="23" t="n">
        <f aca="false">BH27+BH28+BH29+BH30+BH31</f>
        <v>434091.413054096</v>
      </c>
      <c r="BI32" s="23" t="n">
        <f aca="false">BI27+BI28+BI29+BI30+BI31</f>
        <v>441354.916550568</v>
      </c>
      <c r="BJ32" s="23" t="n">
        <f aca="false">BJ27+BJ28+BJ29+BJ30+BJ31</f>
        <v>447858.449243686</v>
      </c>
      <c r="BK32" s="23" t="n">
        <f aca="false">BK27+BK28+BK29+BK30+BK31</f>
        <v>453686.508652879</v>
      </c>
    </row>
    <row r="34" customFormat="false" ht="15" hidden="false" customHeight="false" outlineLevel="0" collapsed="false">
      <c r="A34" s="12" t="s">
        <v>171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</row>
    <row r="35" customFormat="false" ht="15" hidden="false" customHeight="false" outlineLevel="0" collapsed="false">
      <c r="A35" s="13" t="s">
        <v>172</v>
      </c>
      <c r="B35" s="19" t="s">
        <v>155</v>
      </c>
      <c r="C35" s="23" t="n">
        <v>0</v>
      </c>
      <c r="D35" s="23" t="n">
        <f aca="false">D24-D32</f>
        <v>-21488</v>
      </c>
      <c r="E35" s="23" t="n">
        <f aca="false">E24-E32</f>
        <v>-21713.9</v>
      </c>
      <c r="F35" s="23" t="n">
        <f aca="false">F24-F32</f>
        <v>-28884.8327</v>
      </c>
      <c r="G35" s="23" t="n">
        <f aca="false">G24-G32</f>
        <v>-27155.9117075</v>
      </c>
      <c r="H35" s="23" t="n">
        <f aca="false">H24-H32</f>
        <v>-25517.5484140175</v>
      </c>
      <c r="I35" s="23" t="n">
        <f aca="false">I24-I32</f>
        <v>-23960.9461870867</v>
      </c>
      <c r="J35" s="23" t="n">
        <f aca="false">J24-J32</f>
        <v>-22478.0172711522</v>
      </c>
      <c r="K35" s="23" t="n">
        <f aca="false">K24-K32</f>
        <v>-21061.3085129114</v>
      </c>
      <c r="L35" s="23" t="n">
        <f aca="false">L24-L32</f>
        <v>-19703.9349016159</v>
      </c>
      <c r="M35" s="23" t="n">
        <f aca="false">M24-M32</f>
        <v>-18399.5200321416</v>
      </c>
      <c r="N35" s="23" t="n">
        <f aca="false">N24-N32</f>
        <v>-17142.1427020506</v>
      </c>
      <c r="O35" s="23" t="n">
        <f aca="false">O24-O32</f>
        <v>-15926.2889450517</v>
      </c>
      <c r="P35" s="23" t="n">
        <f aca="false">P24-P32</f>
        <v>-14746.808883671</v>
      </c>
      <c r="Q35" s="23" t="n">
        <f aca="false">Q24-Q32</f>
        <v>-13598.8778548539</v>
      </c>
      <c r="R35" s="23" t="n">
        <f aca="false">R24-R32</f>
        <v>-12477.9613247676</v>
      </c>
      <c r="S35" s="23" t="n">
        <f aca="false">S24-S32</f>
        <v>-11379.7831642355</v>
      </c>
      <c r="T35" s="23" t="n">
        <f aca="false">T24-T32</f>
        <v>-10300.2969049159</v>
      </c>
      <c r="U35" s="23" t="n">
        <f aca="false">U24-U32</f>
        <v>-9235.6596392698</v>
      </c>
      <c r="V35" s="23" t="n">
        <f aca="false">V24-V32</f>
        <v>-8182.20826526308</v>
      </c>
      <c r="W35" s="23" t="n">
        <f aca="false">W24-W32</f>
        <v>-7136.43781018253</v>
      </c>
      <c r="X35" s="23" t="n">
        <f aca="false">X24-X32</f>
        <v>-6094.98159745967</v>
      </c>
      <c r="Y35" s="23" t="n">
        <f aca="false">Y24-Y32</f>
        <v>-5054.59304644456</v>
      </c>
      <c r="Z35" s="23" t="n">
        <f aca="false">Z24-Z32</f>
        <v>-4012.1289180657</v>
      </c>
      <c r="AA35" s="23" t="n">
        <f aca="false">AA24-AA32</f>
        <v>-2964.53383960885</v>
      </c>
      <c r="AB35" s="23" t="n">
        <f aca="false">AB24-AB32</f>
        <v>-1908.82595976609</v>
      </c>
      <c r="AC35" s="23" t="n">
        <f aca="false">AC24-AC32</f>
        <v>-842.083600923317</v>
      </c>
      <c r="AD35" s="23" t="n">
        <f aca="false">AD24-AD32</f>
        <v>238.567210382273</v>
      </c>
      <c r="AE35" s="23" t="n">
        <f aca="false">AE24-AE32</f>
        <v>1335.96444158022</v>
      </c>
      <c r="AF35" s="23" t="n">
        <f aca="false">AF24-AF32</f>
        <v>2452.92107662847</v>
      </c>
      <c r="AG35" s="23" t="n">
        <f aca="false">AG24-AG32</f>
        <v>3592.23554929154</v>
      </c>
      <c r="AH35" s="23" t="n">
        <f aca="false">AH24-AH32</f>
        <v>4756.701664942</v>
      </c>
      <c r="AI35" s="23" t="n">
        <f aca="false">AI24-AI32</f>
        <v>5949.11808123087</v>
      </c>
      <c r="AJ35" s="23" t="n">
        <f aca="false">AJ24-AJ32</f>
        <v>7172.29741139387</v>
      </c>
      <c r="AK35" s="23" t="n">
        <f aca="false">AK24-AK32</f>
        <v>8429.07500817213</v>
      </c>
      <c r="AL35" s="23" t="n">
        <f aca="false">AL24-AL32</f>
        <v>9722.31748122821</v>
      </c>
      <c r="AM35" s="23" t="n">
        <f aca="false">AM24-AM32</f>
        <v>11054.9309964628</v>
      </c>
      <c r="AN35" s="23" t="n">
        <f aca="false">AN24-AN32</f>
        <v>12429.8694017103</v>
      </c>
      <c r="AO35" s="23" t="n">
        <f aca="false">AO24-AO32</f>
        <v>13850.1422198466</v>
      </c>
      <c r="AP35" s="23" t="n">
        <f aca="false">AP24-AP32</f>
        <v>15318.8225473393</v>
      </c>
      <c r="AQ35" s="23" t="n">
        <f aca="false">AQ24-AQ32</f>
        <v>16839.0548936476</v>
      </c>
      <c r="AR35" s="23" t="n">
        <f aca="false">AR24-AR32</f>
        <v>18414.0629946056</v>
      </c>
      <c r="AS35" s="23" t="n">
        <f aca="false">AS24-AS32</f>
        <v>20047.1576309525</v>
      </c>
      <c r="AT35" s="23" t="n">
        <f aca="false">AT24-AT32</f>
        <v>21741.7444814872</v>
      </c>
      <c r="AU35" s="23" t="n">
        <f aca="false">AU24-AU32</f>
        <v>23501.3320388772</v>
      </c>
      <c r="AV35" s="23" t="n">
        <f aca="false">AV24-AV32</f>
        <v>25329.5396149352</v>
      </c>
      <c r="AW35" s="23" t="n">
        <f aca="false">AW24-AW32</f>
        <v>27230.1054611545</v>
      </c>
      <c r="AX35" s="23" t="n">
        <f aca="false">AX24-AX32</f>
        <v>29206.8950294624</v>
      </c>
      <c r="AY35" s="23" t="n">
        <f aca="false">AY24-AY32</f>
        <v>31263.9093974737</v>
      </c>
      <c r="AZ35" s="23" t="n">
        <f aca="false">AZ24-AZ32</f>
        <v>33405.2938820096</v>
      </c>
      <c r="BA35" s="23" t="n">
        <f aca="false">BA24-BA32</f>
        <v>35635.3468642597</v>
      </c>
      <c r="BB35" s="23" t="n">
        <f aca="false">BB24-BB32</f>
        <v>37958.5288497136</v>
      </c>
      <c r="BC35" s="23" t="n">
        <f aca="false">BC24-BC32</f>
        <v>31379.4717858406</v>
      </c>
      <c r="BD35" s="23" t="n">
        <f aca="false">BD24-BD32</f>
        <v>33902.9886604709</v>
      </c>
      <c r="BE35" s="23" t="n">
        <f aca="false">BE24-BE32</f>
        <v>36534.083403896</v>
      </c>
      <c r="BF35" s="23" t="n">
        <f aca="false">BF24-BF32</f>
        <v>39277.9611178747</v>
      </c>
      <c r="BG35" s="23" t="n">
        <f aca="false">BG24-BG32</f>
        <v>42247.2018848258</v>
      </c>
      <c r="BH35" s="23" t="n">
        <f aca="false">BH24-BH32</f>
        <v>53834.7188180026</v>
      </c>
      <c r="BI35" s="23" t="n">
        <f aca="false">BI24-BI32</f>
        <v>65653.347531381</v>
      </c>
      <c r="BJ35" s="23" t="n">
        <f aca="false">BJ24-BJ32</f>
        <v>76682.4751008615</v>
      </c>
      <c r="BK35" s="23" t="n">
        <f aca="false">BK24-BK32</f>
        <v>86979.1176056098</v>
      </c>
    </row>
    <row r="36" customFormat="false" ht="15" hidden="false" customHeight="false" outlineLevel="0" collapsed="false">
      <c r="A36" s="13" t="s">
        <v>173</v>
      </c>
      <c r="B36" s="19" t="s">
        <v>155</v>
      </c>
      <c r="C36" s="23" t="n">
        <f aca="false">Premissas!$C$33</f>
        <v>-21000</v>
      </c>
      <c r="D36" s="23" t="n">
        <f aca="false">C36+D35</f>
        <v>-42488</v>
      </c>
      <c r="E36" s="23" t="n">
        <f aca="false">D36+E35</f>
        <v>-64201.9</v>
      </c>
      <c r="F36" s="23" t="n">
        <f aca="false">E36+F35</f>
        <v>-93086.7327</v>
      </c>
      <c r="G36" s="23" t="n">
        <f aca="false">F36+G35</f>
        <v>-120242.6444075</v>
      </c>
      <c r="H36" s="23" t="n">
        <f aca="false">G36+H35</f>
        <v>-145760.192821517</v>
      </c>
      <c r="I36" s="23" t="n">
        <f aca="false">H36+I35</f>
        <v>-169721.139008604</v>
      </c>
      <c r="J36" s="23" t="n">
        <f aca="false">I36+J35</f>
        <v>-192199.156279756</v>
      </c>
      <c r="K36" s="23" t="n">
        <f aca="false">J36+K35</f>
        <v>-213260.464792668</v>
      </c>
      <c r="L36" s="23" t="n">
        <f aca="false">K36+L35</f>
        <v>-232964.399694284</v>
      </c>
      <c r="M36" s="23" t="n">
        <f aca="false">L36+M35</f>
        <v>-251363.919726425</v>
      </c>
      <c r="N36" s="23" t="n">
        <f aca="false">M36+N35</f>
        <v>-268506.062428476</v>
      </c>
      <c r="O36" s="23" t="n">
        <f aca="false">N36+O35</f>
        <v>-284432.351373528</v>
      </c>
      <c r="P36" s="23" t="n">
        <f aca="false">O36+P35</f>
        <v>-299179.160257199</v>
      </c>
      <c r="Q36" s="23" t="n">
        <f aca="false">P36+Q35</f>
        <v>-312778.038112052</v>
      </c>
      <c r="R36" s="23" t="n">
        <f aca="false">Q36+R35</f>
        <v>-325255.99943682</v>
      </c>
      <c r="S36" s="23" t="n">
        <f aca="false">R36+S35</f>
        <v>-336635.782601056</v>
      </c>
      <c r="T36" s="23" t="n">
        <f aca="false">S36+T35</f>
        <v>-346936.079505971</v>
      </c>
      <c r="U36" s="23" t="n">
        <f aca="false">T36+U35</f>
        <v>-356171.739145241</v>
      </c>
      <c r="V36" s="23" t="n">
        <f aca="false">U36+V35</f>
        <v>-364353.947410504</v>
      </c>
      <c r="W36" s="23" t="n">
        <f aca="false">V36+W35</f>
        <v>-371490.385220687</v>
      </c>
      <c r="X36" s="23" t="n">
        <f aca="false">W36+X35</f>
        <v>-377585.366818146</v>
      </c>
      <c r="Y36" s="23" t="n">
        <f aca="false">X36+Y35</f>
        <v>-382639.959864591</v>
      </c>
      <c r="Z36" s="23" t="n">
        <f aca="false">Y36+Z35</f>
        <v>-386652.088782657</v>
      </c>
      <c r="AA36" s="23" t="n">
        <f aca="false">Z36+AA35</f>
        <v>-389616.622622266</v>
      </c>
      <c r="AB36" s="23" t="n">
        <f aca="false">AA36+AB35</f>
        <v>-391525.448582032</v>
      </c>
      <c r="AC36" s="23" t="n">
        <f aca="false">AB36+AC35</f>
        <v>-392367.532182955</v>
      </c>
      <c r="AD36" s="23" t="n">
        <f aca="false">AC36+AD35</f>
        <v>-392128.964972573</v>
      </c>
      <c r="AE36" s="23" t="n">
        <f aca="false">AD36+AE35</f>
        <v>-390793.000530992</v>
      </c>
      <c r="AF36" s="23" t="n">
        <f aca="false">AE36+AF35</f>
        <v>-388340.079454364</v>
      </c>
      <c r="AG36" s="23" t="n">
        <f aca="false">AF36+AG35</f>
        <v>-384747.843905073</v>
      </c>
      <c r="AH36" s="23" t="n">
        <f aca="false">AG36+AH35</f>
        <v>-379991.14224013</v>
      </c>
      <c r="AI36" s="23" t="n">
        <f aca="false">AH36+AI35</f>
        <v>-374042.0241589</v>
      </c>
      <c r="AJ36" s="23" t="n">
        <f aca="false">AI36+AJ35</f>
        <v>-366869.726747506</v>
      </c>
      <c r="AK36" s="23" t="n">
        <f aca="false">AJ36+AK35</f>
        <v>-358440.651739334</v>
      </c>
      <c r="AL36" s="23" t="n">
        <f aca="false">AK36+AL35</f>
        <v>-348718.334258105</v>
      </c>
      <c r="AM36" s="23" t="n">
        <f aca="false">AL36+AM35</f>
        <v>-337663.403261643</v>
      </c>
      <c r="AN36" s="23" t="n">
        <f aca="false">AM36+AN35</f>
        <v>-325233.533859932</v>
      </c>
      <c r="AO36" s="23" t="n">
        <f aca="false">AN36+AO35</f>
        <v>-311383.391640086</v>
      </c>
      <c r="AP36" s="23" t="n">
        <f aca="false">AO36+AP35</f>
        <v>-296064.569092746</v>
      </c>
      <c r="AQ36" s="23" t="n">
        <f aca="false">AP36+AQ35</f>
        <v>-279225.514199099</v>
      </c>
      <c r="AR36" s="23" t="n">
        <f aca="false">AQ36+AR35</f>
        <v>-260811.451204493</v>
      </c>
      <c r="AS36" s="23" t="n">
        <f aca="false">AR36+AS35</f>
        <v>-240764.293573541</v>
      </c>
      <c r="AT36" s="23" t="n">
        <f aca="false">AS36+AT35</f>
        <v>-219022.549092053</v>
      </c>
      <c r="AU36" s="23" t="n">
        <f aca="false">AT36+AU35</f>
        <v>-195521.217053176</v>
      </c>
      <c r="AV36" s="23" t="n">
        <f aca="false">AU36+AV35</f>
        <v>-170191.677438241</v>
      </c>
      <c r="AW36" s="23" t="n">
        <f aca="false">AV36+AW35</f>
        <v>-142961.571977087</v>
      </c>
      <c r="AX36" s="23" t="n">
        <f aca="false">AW36+AX35</f>
        <v>-113754.676947624</v>
      </c>
      <c r="AY36" s="23" t="n">
        <f aca="false">AX36+AY35</f>
        <v>-82490.7675501504</v>
      </c>
      <c r="AZ36" s="23" t="n">
        <f aca="false">AY36+AZ35</f>
        <v>-49085.4736681408</v>
      </c>
      <c r="BA36" s="23" t="n">
        <f aca="false">AZ36+BA35</f>
        <v>-13450.1268038811</v>
      </c>
      <c r="BB36" s="23" t="n">
        <f aca="false">BA36+BB35</f>
        <v>24508.4020458324</v>
      </c>
      <c r="BC36" s="23" t="n">
        <f aca="false">BB36+BC35</f>
        <v>55887.8738316731</v>
      </c>
      <c r="BD36" s="23" t="n">
        <f aca="false">BC36+BD35</f>
        <v>89790.8624921439</v>
      </c>
      <c r="BE36" s="23" t="n">
        <f aca="false">BD36+BE35</f>
        <v>126324.94589604</v>
      </c>
      <c r="BF36" s="23" t="n">
        <f aca="false">BE36+BF35</f>
        <v>165602.907013915</v>
      </c>
      <c r="BG36" s="23" t="n">
        <f aca="false">BF36+BG35</f>
        <v>207850.10889874</v>
      </c>
      <c r="BH36" s="23" t="n">
        <f aca="false">BG36+BH35</f>
        <v>261684.827716743</v>
      </c>
      <c r="BI36" s="23" t="n">
        <f aca="false">BH36+BI35</f>
        <v>327338.175248124</v>
      </c>
      <c r="BJ36" s="23" t="n">
        <f aca="false">BI36+BJ35</f>
        <v>404020.650348986</v>
      </c>
      <c r="BK36" s="23" t="n">
        <f aca="false">BJ36+BK35</f>
        <v>490999.767954595</v>
      </c>
    </row>
  </sheetData>
  <mergeCells count="5">
    <mergeCell ref="D3:O3"/>
    <mergeCell ref="P3:AA3"/>
    <mergeCell ref="AB3:AM3"/>
    <mergeCell ref="AN3:AY3"/>
    <mergeCell ref="AZ3:B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19" t="s">
        <v>72</v>
      </c>
    </row>
    <row r="3" customFormat="false" ht="26.85" hidden="false" customHeight="true" outlineLevel="0" collapsed="false">
      <c r="A3" s="26" t="s">
        <v>73</v>
      </c>
      <c r="B3" s="26" t="s">
        <v>74</v>
      </c>
      <c r="C3" s="26" t="s">
        <v>75</v>
      </c>
      <c r="D3" s="26" t="s">
        <v>76</v>
      </c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 t="s">
        <v>77</v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 t="s">
        <v>78</v>
      </c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 t="s">
        <v>79</v>
      </c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 t="s">
        <v>80</v>
      </c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</row>
    <row r="4" customFormat="false" ht="15" hidden="false" customHeight="false" outlineLevel="0" collapsed="false">
      <c r="A4" s="7" t="s">
        <v>81</v>
      </c>
      <c r="B4" s="21"/>
      <c r="C4" s="21" t="s">
        <v>82</v>
      </c>
      <c r="D4" s="21" t="s">
        <v>83</v>
      </c>
      <c r="E4" s="21" t="s">
        <v>84</v>
      </c>
      <c r="F4" s="21" t="s">
        <v>85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  <c r="P4" s="21" t="s">
        <v>95</v>
      </c>
      <c r="Q4" s="21" t="s">
        <v>96</v>
      </c>
      <c r="R4" s="21" t="s">
        <v>97</v>
      </c>
      <c r="S4" s="21" t="s">
        <v>98</v>
      </c>
      <c r="T4" s="21" t="s">
        <v>99</v>
      </c>
      <c r="U4" s="21" t="s">
        <v>100</v>
      </c>
      <c r="V4" s="21" t="s">
        <v>101</v>
      </c>
      <c r="W4" s="21" t="s">
        <v>102</v>
      </c>
      <c r="X4" s="21" t="s">
        <v>103</v>
      </c>
      <c r="Y4" s="21" t="s">
        <v>104</v>
      </c>
      <c r="Z4" s="21" t="s">
        <v>105</v>
      </c>
      <c r="AA4" s="21" t="s">
        <v>106</v>
      </c>
      <c r="AB4" s="21" t="s">
        <v>107</v>
      </c>
      <c r="AC4" s="21" t="s">
        <v>108</v>
      </c>
      <c r="AD4" s="21" t="s">
        <v>109</v>
      </c>
      <c r="AE4" s="21" t="s">
        <v>110</v>
      </c>
      <c r="AF4" s="21" t="s">
        <v>111</v>
      </c>
      <c r="AG4" s="21" t="s">
        <v>112</v>
      </c>
      <c r="AH4" s="21" t="s">
        <v>113</v>
      </c>
      <c r="AI4" s="21" t="s">
        <v>114</v>
      </c>
      <c r="AJ4" s="21" t="s">
        <v>115</v>
      </c>
      <c r="AK4" s="21" t="s">
        <v>116</v>
      </c>
      <c r="AL4" s="21" t="s">
        <v>117</v>
      </c>
      <c r="AM4" s="21" t="s">
        <v>118</v>
      </c>
      <c r="AN4" s="21" t="s">
        <v>119</v>
      </c>
      <c r="AO4" s="21" t="s">
        <v>120</v>
      </c>
      <c r="AP4" s="21" t="s">
        <v>121</v>
      </c>
      <c r="AQ4" s="21" t="s">
        <v>122</v>
      </c>
      <c r="AR4" s="21" t="s">
        <v>123</v>
      </c>
      <c r="AS4" s="21" t="s">
        <v>124</v>
      </c>
      <c r="AT4" s="21" t="s">
        <v>125</v>
      </c>
      <c r="AU4" s="21" t="s">
        <v>126</v>
      </c>
      <c r="AV4" s="21" t="s">
        <v>127</v>
      </c>
      <c r="AW4" s="21" t="s">
        <v>128</v>
      </c>
      <c r="AX4" s="21" t="s">
        <v>129</v>
      </c>
      <c r="AY4" s="21" t="s">
        <v>130</v>
      </c>
      <c r="AZ4" s="21" t="s">
        <v>131</v>
      </c>
      <c r="BA4" s="21" t="s">
        <v>132</v>
      </c>
      <c r="BB4" s="21" t="s">
        <v>133</v>
      </c>
      <c r="BC4" s="21" t="s">
        <v>134</v>
      </c>
      <c r="BD4" s="21" t="s">
        <v>135</v>
      </c>
      <c r="BE4" s="21" t="s">
        <v>136</v>
      </c>
      <c r="BF4" s="21" t="s">
        <v>137</v>
      </c>
      <c r="BG4" s="21" t="s">
        <v>138</v>
      </c>
      <c r="BH4" s="21" t="s">
        <v>139</v>
      </c>
      <c r="BI4" s="21" t="s">
        <v>140</v>
      </c>
      <c r="BJ4" s="21" t="s">
        <v>141</v>
      </c>
      <c r="BK4" s="21" t="s">
        <v>142</v>
      </c>
    </row>
    <row r="6" customFormat="false" ht="15" hidden="false" customHeight="false" outlineLevel="0" collapsed="false">
      <c r="A6" s="9" t="s">
        <v>143</v>
      </c>
      <c r="B6" s="19" t="s">
        <v>144</v>
      </c>
      <c r="C6" s="22" t="n">
        <v>0</v>
      </c>
      <c r="D6" s="22" t="n">
        <f aca="false">MIN(Premissas!$D$9,Premissas!$D$11)</f>
        <v>150</v>
      </c>
      <c r="E6" s="22" t="n">
        <f aca="false">MIN(D6*(1+Premissas!$D$10),Premissas!$D$11)</f>
        <v>162</v>
      </c>
      <c r="F6" s="22" t="n">
        <f aca="false">MIN(E6*(1+Premissas!$D$10),Premissas!$D$11)</f>
        <v>174.96</v>
      </c>
      <c r="G6" s="22" t="n">
        <f aca="false">MIN(F6*(1+Premissas!$D$10),Premissas!$D$11)</f>
        <v>188.9568</v>
      </c>
      <c r="H6" s="22" t="n">
        <f aca="false">MIN(G6*(1+Premissas!$D$10),Premissas!$D$11)</f>
        <v>204.073344</v>
      </c>
      <c r="I6" s="22" t="n">
        <f aca="false">MIN(H6*(1+Premissas!$D$10),Premissas!$D$11)</f>
        <v>220.39921152</v>
      </c>
      <c r="J6" s="22" t="n">
        <f aca="false">MIN(I6*(1+Premissas!$D$10),Premissas!$D$11)</f>
        <v>238.0311484416</v>
      </c>
      <c r="K6" s="22" t="n">
        <f aca="false">MIN(J6*(1+Premissas!$D$10),Premissas!$D$11)</f>
        <v>257.073640316928</v>
      </c>
      <c r="L6" s="22" t="n">
        <f aca="false">MIN(K6*(1+Premissas!$D$10),Premissas!$D$11)</f>
        <v>277.639531542282</v>
      </c>
      <c r="M6" s="22" t="n">
        <f aca="false">MIN(L6*(1+Premissas!$D$10),Premissas!$D$11)</f>
        <v>299.850694065665</v>
      </c>
      <c r="N6" s="22" t="n">
        <f aca="false">MIN(M6*(1+Premissas!$D$10),Premissas!$D$11)</f>
        <v>323.838749590918</v>
      </c>
      <c r="O6" s="22" t="n">
        <f aca="false">MIN(N6*(1+Premissas!$D$10),Premissas!$D$11)</f>
        <v>349.745849558192</v>
      </c>
      <c r="P6" s="22" t="n">
        <f aca="false">MIN(O6*(1+Premissas!$D$10),Premissas!$D$11)</f>
        <v>377.725517522847</v>
      </c>
      <c r="Q6" s="22" t="n">
        <f aca="false">MIN(P6*(1+Premissas!$D$10),Premissas!$D$11)</f>
        <v>407.943558924675</v>
      </c>
      <c r="R6" s="22" t="n">
        <f aca="false">MIN(Q6*(1+Premissas!$D$10),Premissas!$D$11)</f>
        <v>440.579043638649</v>
      </c>
      <c r="S6" s="22" t="n">
        <f aca="false">MIN(R6*(1+Premissas!$D$10),Premissas!$D$11)</f>
        <v>475.825367129741</v>
      </c>
      <c r="T6" s="22" t="n">
        <f aca="false">MIN(S6*(1+Premissas!$D$10),Premissas!$D$11)</f>
        <v>513.89139650012</v>
      </c>
      <c r="U6" s="22" t="n">
        <f aca="false">MIN(T6*(1+Premissas!$D$10),Premissas!$D$11)</f>
        <v>555.00270822013</v>
      </c>
      <c r="V6" s="22" t="n">
        <f aca="false">MIN(U6*(1+Premissas!$D$10),Premissas!$D$11)</f>
        <v>599.40292487774</v>
      </c>
      <c r="W6" s="22" t="n">
        <f aca="false">MIN(V6*(1+Premissas!$D$10),Premissas!$D$11)</f>
        <v>647.355158867959</v>
      </c>
      <c r="X6" s="22" t="n">
        <f aca="false">MIN(W6*(1+Premissas!$D$10),Premissas!$D$11)</f>
        <v>699.143571577396</v>
      </c>
      <c r="Y6" s="22" t="n">
        <f aca="false">MIN(X6*(1+Premissas!$D$10),Premissas!$D$11)</f>
        <v>755.075057303588</v>
      </c>
      <c r="Z6" s="22" t="n">
        <f aca="false">MIN(Y6*(1+Premissas!$D$10),Premissas!$D$11)</f>
        <v>815.481061887875</v>
      </c>
      <c r="AA6" s="22" t="n">
        <f aca="false">MIN(Z6*(1+Premissas!$D$10),Premissas!$D$11)</f>
        <v>880.719546838905</v>
      </c>
      <c r="AB6" s="22" t="n">
        <f aca="false">MIN(AA6*(1+Premissas!$D$10),Premissas!$D$11)</f>
        <v>951.177110586017</v>
      </c>
      <c r="AC6" s="22" t="n">
        <f aca="false">MIN(AB6*(1+Premissas!$D$10),Premissas!$D$11)</f>
        <v>1027.2712794329</v>
      </c>
      <c r="AD6" s="22" t="n">
        <f aca="false">MIN(AC6*(1+Premissas!$D$10),Premissas!$D$11)</f>
        <v>1109.45298178753</v>
      </c>
      <c r="AE6" s="22" t="n">
        <f aca="false">MIN(AD6*(1+Premissas!$D$10),Premissas!$D$11)</f>
        <v>1198.20922033053</v>
      </c>
      <c r="AF6" s="22" t="n">
        <f aca="false">MIN(AE6*(1+Premissas!$D$10),Premissas!$D$11)</f>
        <v>1294.06595795698</v>
      </c>
      <c r="AG6" s="22" t="n">
        <f aca="false">MIN(AF6*(1+Premissas!$D$10),Premissas!$D$11)</f>
        <v>1397.59123459353</v>
      </c>
      <c r="AH6" s="22" t="n">
        <f aca="false">MIN(AG6*(1+Premissas!$D$10),Premissas!$D$11)</f>
        <v>1509.39853336102</v>
      </c>
      <c r="AI6" s="22" t="n">
        <f aca="false">MIN(AH6*(1+Premissas!$D$10),Premissas!$D$11)</f>
        <v>1630.1504160299</v>
      </c>
      <c r="AJ6" s="22" t="n">
        <f aca="false">MIN(AI6*(1+Premissas!$D$10),Premissas!$D$11)</f>
        <v>1760.56244931229</v>
      </c>
      <c r="AK6" s="22" t="n">
        <f aca="false">MIN(AJ6*(1+Premissas!$D$10),Premissas!$D$11)</f>
        <v>1901.40744525727</v>
      </c>
      <c r="AL6" s="22" t="n">
        <f aca="false">MIN(AK6*(1+Premissas!$D$10),Premissas!$D$11)</f>
        <v>2053.52004087786</v>
      </c>
      <c r="AM6" s="22" t="n">
        <f aca="false">MIN(AL6*(1+Premissas!$D$10),Premissas!$D$11)</f>
        <v>2200</v>
      </c>
      <c r="AN6" s="22" t="n">
        <f aca="false">MIN(AM6*(1+Premissas!$D$10),Premissas!$D$11)</f>
        <v>2200</v>
      </c>
      <c r="AO6" s="22" t="n">
        <f aca="false">MIN(AN6*(1+Premissas!$D$10),Premissas!$D$11)</f>
        <v>2200</v>
      </c>
      <c r="AP6" s="22" t="n">
        <f aca="false">MIN(AO6*(1+Premissas!$D$10),Premissas!$D$11)</f>
        <v>2200</v>
      </c>
      <c r="AQ6" s="22" t="n">
        <f aca="false">MIN(AP6*(1+Premissas!$D$10),Premissas!$D$11)</f>
        <v>2200</v>
      </c>
      <c r="AR6" s="22" t="n">
        <f aca="false">MIN(AQ6*(1+Premissas!$D$10),Premissas!$D$11)</f>
        <v>2200</v>
      </c>
      <c r="AS6" s="22" t="n">
        <f aca="false">MIN(AR6*(1+Premissas!$D$10),Premissas!$D$11)</f>
        <v>2200</v>
      </c>
      <c r="AT6" s="22" t="n">
        <f aca="false">MIN(AS6*(1+Premissas!$D$10),Premissas!$D$11)</f>
        <v>2200</v>
      </c>
      <c r="AU6" s="22" t="n">
        <f aca="false">MIN(AT6*(1+Premissas!$D$10),Premissas!$D$11)</f>
        <v>2200</v>
      </c>
      <c r="AV6" s="22" t="n">
        <f aca="false">MIN(AU6*(1+Premissas!$D$10),Premissas!$D$11)</f>
        <v>2200</v>
      </c>
      <c r="AW6" s="22" t="n">
        <f aca="false">MIN(AV6*(1+Premissas!$D$10),Premissas!$D$11)</f>
        <v>2200</v>
      </c>
      <c r="AX6" s="22" t="n">
        <f aca="false">MIN(AW6*(1+Premissas!$D$10),Premissas!$D$11)</f>
        <v>2200</v>
      </c>
      <c r="AY6" s="22" t="n">
        <f aca="false">MIN(AX6*(1+Premissas!$D$10),Premissas!$D$11)</f>
        <v>2200</v>
      </c>
      <c r="AZ6" s="22" t="n">
        <f aca="false">MIN(AY6*(1+Premissas!$D$10),Premissas!$D$11)</f>
        <v>2200</v>
      </c>
      <c r="BA6" s="22" t="n">
        <f aca="false">MIN(AZ6*(1+Premissas!$D$10),Premissas!$D$11)</f>
        <v>2200</v>
      </c>
      <c r="BB6" s="22" t="n">
        <f aca="false">MIN(BA6*(1+Premissas!$D$10),Premissas!$D$11)</f>
        <v>2200</v>
      </c>
      <c r="BC6" s="22" t="n">
        <f aca="false">MIN(BB6*(1+Premissas!$D$10),Premissas!$D$11)</f>
        <v>2200</v>
      </c>
      <c r="BD6" s="22" t="n">
        <f aca="false">MIN(BC6*(1+Premissas!$D$10),Premissas!$D$11)</f>
        <v>2200</v>
      </c>
      <c r="BE6" s="22" t="n">
        <f aca="false">MIN(BD6*(1+Premissas!$D$10),Premissas!$D$11)</f>
        <v>2200</v>
      </c>
      <c r="BF6" s="22" t="n">
        <f aca="false">MIN(BE6*(1+Premissas!$D$10),Premissas!$D$11)</f>
        <v>2200</v>
      </c>
      <c r="BG6" s="22" t="n">
        <f aca="false">MIN(BF6*(1+Premissas!$D$10),Premissas!$D$11)</f>
        <v>2200</v>
      </c>
      <c r="BH6" s="22" t="n">
        <f aca="false">MIN(BG6*(1+Premissas!$D$10),Premissas!$D$11)</f>
        <v>2200</v>
      </c>
      <c r="BI6" s="22" t="n">
        <f aca="false">MIN(BH6*(1+Premissas!$D$10),Premissas!$D$11)</f>
        <v>2200</v>
      </c>
      <c r="BJ6" s="22" t="n">
        <f aca="false">MIN(BI6*(1+Premissas!$D$10),Premissas!$D$11)</f>
        <v>2200</v>
      </c>
      <c r="BK6" s="22" t="n">
        <f aca="false">MIN(BJ6*(1+Premissas!$D$10),Premissas!$D$11)</f>
        <v>2200</v>
      </c>
    </row>
    <row r="7" customFormat="false" ht="15" hidden="false" customHeight="false" outlineLevel="0" collapsed="false">
      <c r="A7" s="9" t="s">
        <v>145</v>
      </c>
      <c r="B7" s="19" t="s">
        <v>144</v>
      </c>
      <c r="C7" s="22" t="n">
        <v>0</v>
      </c>
      <c r="D7" s="22" t="n">
        <v>0</v>
      </c>
      <c r="E7" s="22" t="n">
        <f aca="false">C6*Premissas!$D$12</f>
        <v>0</v>
      </c>
      <c r="F7" s="22" t="n">
        <f aca="false">D6*Premissas!$D$12</f>
        <v>16.5</v>
      </c>
      <c r="G7" s="22" t="n">
        <f aca="false">E6*Premissas!$D$12</f>
        <v>17.82</v>
      </c>
      <c r="H7" s="22" t="n">
        <f aca="false">F6*Premissas!$D$12</f>
        <v>19.2456</v>
      </c>
      <c r="I7" s="22" t="n">
        <f aca="false">G6*Premissas!$D$12</f>
        <v>20.785248</v>
      </c>
      <c r="J7" s="22" t="n">
        <f aca="false">H6*Premissas!$D$12</f>
        <v>22.44806784</v>
      </c>
      <c r="K7" s="22" t="n">
        <f aca="false">I6*Premissas!$D$12</f>
        <v>24.2439132672</v>
      </c>
      <c r="L7" s="22" t="n">
        <f aca="false">J6*Premissas!$D$12</f>
        <v>26.183426328576</v>
      </c>
      <c r="M7" s="22" t="n">
        <f aca="false">K6*Premissas!$D$12</f>
        <v>28.2781004348621</v>
      </c>
      <c r="N7" s="22" t="n">
        <f aca="false">L6*Premissas!$D$12</f>
        <v>30.5403484696511</v>
      </c>
      <c r="O7" s="22" t="n">
        <f aca="false">M6*Premissas!$D$12</f>
        <v>32.9835763472231</v>
      </c>
      <c r="P7" s="22" t="n">
        <f aca="false">N6*Premissas!$D$12</f>
        <v>35.622262455001</v>
      </c>
      <c r="Q7" s="22" t="n">
        <f aca="false">O6*Premissas!$D$12</f>
        <v>38.4720434514011</v>
      </c>
      <c r="R7" s="22" t="n">
        <f aca="false">P6*Premissas!$D$12</f>
        <v>41.5498069275132</v>
      </c>
      <c r="S7" s="22" t="n">
        <f aca="false">Q6*Premissas!$D$12</f>
        <v>44.8737914817142</v>
      </c>
      <c r="T7" s="22" t="n">
        <f aca="false">R6*Premissas!$D$12</f>
        <v>48.4636948002514</v>
      </c>
      <c r="U7" s="22" t="n">
        <f aca="false">S6*Premissas!$D$12</f>
        <v>52.3407903842715</v>
      </c>
      <c r="V7" s="22" t="n">
        <f aca="false">T6*Premissas!$D$12</f>
        <v>56.5280536150132</v>
      </c>
      <c r="W7" s="22" t="n">
        <f aca="false">U6*Premissas!$D$12</f>
        <v>61.0502979042143</v>
      </c>
      <c r="X7" s="22" t="n">
        <f aca="false">V6*Premissas!$D$12</f>
        <v>65.9343217365514</v>
      </c>
      <c r="Y7" s="22" t="n">
        <f aca="false">W6*Premissas!$D$12</f>
        <v>71.2090674754755</v>
      </c>
      <c r="Z7" s="22" t="n">
        <f aca="false">X6*Premissas!$D$12</f>
        <v>76.9057928735136</v>
      </c>
      <c r="AA7" s="22" t="n">
        <f aca="false">Y6*Premissas!$D$12</f>
        <v>83.0582563033947</v>
      </c>
      <c r="AB7" s="22" t="n">
        <f aca="false">Z6*Premissas!$D$12</f>
        <v>89.7029168076662</v>
      </c>
      <c r="AC7" s="22" t="n">
        <f aca="false">AA6*Premissas!$D$12</f>
        <v>96.8791501522795</v>
      </c>
      <c r="AD7" s="22" t="n">
        <f aca="false">AB6*Premissas!$D$12</f>
        <v>104.629482164462</v>
      </c>
      <c r="AE7" s="22" t="n">
        <f aca="false">AC6*Premissas!$D$12</f>
        <v>112.999840737619</v>
      </c>
      <c r="AF7" s="22" t="n">
        <f aca="false">AD6*Premissas!$D$12</f>
        <v>122.039827996628</v>
      </c>
      <c r="AG7" s="22" t="n">
        <f aca="false">AE6*Premissas!$D$12</f>
        <v>131.803014236359</v>
      </c>
      <c r="AH7" s="22" t="n">
        <f aca="false">AF6*Premissas!$D$12</f>
        <v>142.347255375267</v>
      </c>
      <c r="AI7" s="22" t="n">
        <f aca="false">AG6*Premissas!$D$12</f>
        <v>153.735035805289</v>
      </c>
      <c r="AJ7" s="22" t="n">
        <f aca="false">AH6*Premissas!$D$12</f>
        <v>166.033838669712</v>
      </c>
      <c r="AK7" s="22" t="n">
        <f aca="false">AI6*Premissas!$D$12</f>
        <v>179.316545763289</v>
      </c>
      <c r="AL7" s="22" t="n">
        <f aca="false">AJ6*Premissas!$D$12</f>
        <v>193.661869424352</v>
      </c>
      <c r="AM7" s="22" t="n">
        <f aca="false">AK6*Premissas!$D$12</f>
        <v>209.1548189783</v>
      </c>
      <c r="AN7" s="22" t="n">
        <f aca="false">AL6*Premissas!$D$12</f>
        <v>225.887204496564</v>
      </c>
      <c r="AO7" s="22" t="n">
        <f aca="false">AM6*Premissas!$D$12</f>
        <v>242</v>
      </c>
      <c r="AP7" s="22" t="n">
        <f aca="false">AN6*Premissas!$D$12</f>
        <v>242</v>
      </c>
      <c r="AQ7" s="22" t="n">
        <f aca="false">AO6*Premissas!$D$12</f>
        <v>242</v>
      </c>
      <c r="AR7" s="22" t="n">
        <f aca="false">AP6*Premissas!$D$12</f>
        <v>242</v>
      </c>
      <c r="AS7" s="22" t="n">
        <f aca="false">AQ6*Premissas!$D$12</f>
        <v>242</v>
      </c>
      <c r="AT7" s="22" t="n">
        <f aca="false">AR6*Premissas!$D$12</f>
        <v>242</v>
      </c>
      <c r="AU7" s="22" t="n">
        <f aca="false">AS6*Premissas!$D$12</f>
        <v>242</v>
      </c>
      <c r="AV7" s="22" t="n">
        <f aca="false">AT6*Premissas!$D$12</f>
        <v>242</v>
      </c>
      <c r="AW7" s="22" t="n">
        <f aca="false">AU6*Premissas!$D$12</f>
        <v>242</v>
      </c>
      <c r="AX7" s="22" t="n">
        <f aca="false">AV6*Premissas!$D$12</f>
        <v>242</v>
      </c>
      <c r="AY7" s="22" t="n">
        <f aca="false">AW6*Premissas!$D$12</f>
        <v>242</v>
      </c>
      <c r="AZ7" s="22" t="n">
        <f aca="false">AX6*Premissas!$D$12</f>
        <v>242</v>
      </c>
      <c r="BA7" s="22" t="n">
        <f aca="false">AY6*Premissas!$D$12</f>
        <v>242</v>
      </c>
      <c r="BB7" s="22" t="n">
        <f aca="false">AZ6*Premissas!$D$12</f>
        <v>242</v>
      </c>
      <c r="BC7" s="22" t="n">
        <f aca="false">BA6*Premissas!$D$12</f>
        <v>242</v>
      </c>
      <c r="BD7" s="22" t="n">
        <f aca="false">BB6*Premissas!$D$12</f>
        <v>242</v>
      </c>
      <c r="BE7" s="22" t="n">
        <f aca="false">BC6*Premissas!$D$12</f>
        <v>242</v>
      </c>
      <c r="BF7" s="22" t="n">
        <f aca="false">BD6*Premissas!$D$12</f>
        <v>242</v>
      </c>
      <c r="BG7" s="22" t="n">
        <f aca="false">BE6*Premissas!$D$12</f>
        <v>242</v>
      </c>
      <c r="BH7" s="22" t="n">
        <f aca="false">BF6*Premissas!$D$12</f>
        <v>242</v>
      </c>
      <c r="BI7" s="22" t="n">
        <f aca="false">BG6*Premissas!$D$12</f>
        <v>242</v>
      </c>
      <c r="BJ7" s="22" t="n">
        <f aca="false">BH6*Premissas!$D$12</f>
        <v>242</v>
      </c>
      <c r="BK7" s="22" t="n">
        <f aca="false">BI6*Premissas!$D$12</f>
        <v>242</v>
      </c>
    </row>
    <row r="8" customFormat="false" ht="15" hidden="false" customHeight="false" outlineLevel="0" collapsed="false">
      <c r="A8" s="9" t="s">
        <v>146</v>
      </c>
      <c r="B8" s="19" t="s">
        <v>144</v>
      </c>
      <c r="C8" s="22" t="n">
        <v>0</v>
      </c>
      <c r="D8" s="22" t="n">
        <f aca="false">C8*(1-Premissas!$D$14)+D6-D7</f>
        <v>150</v>
      </c>
      <c r="E8" s="22" t="n">
        <f aca="false">D8*(1-Premissas!$D$14)+E6-E7</f>
        <v>298.5</v>
      </c>
      <c r="F8" s="22" t="n">
        <f aca="false">E8*(1-Premissas!$D$14)+F6-F7</f>
        <v>430.095</v>
      </c>
      <c r="G8" s="22" t="n">
        <f aca="false">F8*(1-Premissas!$D$14)+G6-G7</f>
        <v>562.52325</v>
      </c>
      <c r="H8" s="22" t="n">
        <f aca="false">G8*(1-Premissas!$D$14)+H6-H7</f>
        <v>696.7239015</v>
      </c>
      <c r="I8" s="22" t="n">
        <f aca="false">H8*(1-Premissas!$D$14)+I6-I7</f>
        <v>833.632713885</v>
      </c>
      <c r="J8" s="22" t="n">
        <f aca="false">I8*(1-Premissas!$D$14)+J6-J7</f>
        <v>974.18885023695</v>
      </c>
      <c r="K8" s="22" t="n">
        <f aca="false">J8*(1-Premissas!$D$14)+K6-K7</f>
        <v>1119.34158076535</v>
      </c>
      <c r="L8" s="22" t="n">
        <f aca="false">K8*(1-Premissas!$D$14)+L6-L7</f>
        <v>1270.05694371018</v>
      </c>
      <c r="M8" s="22" t="n">
        <f aca="false">L8*(1-Premissas!$D$14)+M6-M7</f>
        <v>1427.32441240706</v>
      </c>
      <c r="N8" s="22" t="n">
        <f aca="false">M8*(1-Premissas!$D$14)+N6-N7</f>
        <v>1592.1636164117</v>
      </c>
      <c r="O8" s="22" t="n">
        <f aca="false">N8*(1-Premissas!$D$14)+O6-O7</f>
        <v>1765.63116414561</v>
      </c>
      <c r="P8" s="22" t="n">
        <f aca="false">O8*(1-Premissas!$D$14)+P6-P7</f>
        <v>1948.82761444035</v>
      </c>
      <c r="Q8" s="22" t="n">
        <f aca="false">P8*(1-Premissas!$D$14)+Q6-Q7</f>
        <v>2142.90464461399</v>
      </c>
      <c r="R8" s="22" t="n">
        <f aca="false">Q8*(1-Premissas!$D$14)+R6-R7</f>
        <v>2349.07246330987</v>
      </c>
      <c r="S8" s="22" t="n">
        <f aca="false">R8*(1-Premissas!$D$14)+S6-S7</f>
        <v>2568.60751726001</v>
      </c>
      <c r="T8" s="22" t="n">
        <f aca="false">S8*(1-Premissas!$D$14)+T6-T7</f>
        <v>2802.86054240648</v>
      </c>
      <c r="U8" s="22" t="n">
        <f aca="false">T8*(1-Premissas!$D$14)+U6-U7</f>
        <v>3053.26501142575</v>
      </c>
      <c r="V8" s="22" t="n">
        <f aca="false">U8*(1-Premissas!$D$14)+V6-V7</f>
        <v>3321.34603166016</v>
      </c>
      <c r="W8" s="22" t="n">
        <f aca="false">V8*(1-Premissas!$D$14)+W6-W7</f>
        <v>3608.72974977449</v>
      </c>
      <c r="X8" s="22" t="n">
        <f aca="false">W8*(1-Premissas!$D$14)+X6-X7</f>
        <v>3917.15332213563</v>
      </c>
      <c r="Y8" s="22" t="n">
        <f aca="false">X8*(1-Premissas!$D$14)+Y6-Y7</f>
        <v>4248.47551297154</v>
      </c>
      <c r="Z8" s="22" t="n">
        <f aca="false">Y8*(1-Premissas!$D$14)+Z6-Z7</f>
        <v>4604.68798581846</v>
      </c>
      <c r="AA8" s="22" t="n">
        <f aca="false">Z8*(1-Premissas!$D$14)+AA6-AA7</f>
        <v>4987.92735763031</v>
      </c>
      <c r="AB8" s="22" t="n">
        <f aca="false">AA8*(1-Premissas!$D$14)+AB6-AB7</f>
        <v>5400.48808922193</v>
      </c>
      <c r="AC8" s="22" t="n">
        <f aca="false">AB8*(1-Premissas!$D$14)+AC6-AC7</f>
        <v>5844.83629047258</v>
      </c>
      <c r="AD8" s="22" t="n">
        <f aca="false">AC8*(1-Premissas!$D$14)+AD6-AD7</f>
        <v>6323.62452395312</v>
      </c>
      <c r="AE8" s="22" t="n">
        <f aca="false">AD8*(1-Premissas!$D$14)+AE6-AE7</f>
        <v>6839.70769639025</v>
      </c>
      <c r="AF8" s="22" t="n">
        <f aca="false">AE8*(1-Premissas!$D$14)+AF6-AF7</f>
        <v>7396.16013367548</v>
      </c>
      <c r="AG8" s="22" t="n">
        <f aca="false">AF8*(1-Premissas!$D$14)+AG6-AG7</f>
        <v>7996.29394200186</v>
      </c>
      <c r="AH8" s="22" t="n">
        <f aca="false">AG8*(1-Premissas!$D$14)+AH6-AH7</f>
        <v>8643.67876520744</v>
      </c>
      <c r="AI8" s="22" t="n">
        <f aca="false">AH8*(1-Premissas!$D$14)+AI6-AI7</f>
        <v>9342.16305656338</v>
      </c>
      <c r="AJ8" s="22" t="n">
        <f aca="false">AI8*(1-Premissas!$D$14)+AJ6-AJ7</f>
        <v>10095.8969921153</v>
      </c>
      <c r="AK8" s="22" t="n">
        <f aca="false">AJ8*(1-Premissas!$D$14)+AK6-AK7</f>
        <v>10909.3571623189</v>
      </c>
      <c r="AL8" s="22" t="n">
        <f aca="false">AK8*(1-Premissas!$D$14)+AL6-AL7</f>
        <v>11787.3731891637</v>
      </c>
      <c r="AM8" s="22" t="n">
        <f aca="false">AL8*(1-Premissas!$D$14)+AM6-AM7</f>
        <v>12717.3547831606</v>
      </c>
      <c r="AN8" s="22" t="n">
        <f aca="false">AM8*(1-Premissas!$D$14)+AN6-AN7</f>
        <v>13546.9056481796</v>
      </c>
      <c r="AO8" s="22" t="n">
        <f aca="false">AN8*(1-Premissas!$D$14)+AO6-AO7</f>
        <v>14285.6841398435</v>
      </c>
      <c r="AP8" s="22" t="n">
        <f aca="false">AO8*(1-Premissas!$D$14)+AP6-AP7</f>
        <v>14957.9725672575</v>
      </c>
      <c r="AQ8" s="22" t="n">
        <f aca="false">AP8*(1-Premissas!$D$14)+AQ6-AQ7</f>
        <v>15569.7550362044</v>
      </c>
      <c r="AR8" s="22" t="n">
        <f aca="false">AQ8*(1-Premissas!$D$14)+AR6-AR7</f>
        <v>16126.477082946</v>
      </c>
      <c r="AS8" s="22" t="n">
        <f aca="false">AR8*(1-Premissas!$D$14)+AS6-AS7</f>
        <v>16633.0941454808</v>
      </c>
      <c r="AT8" s="22" t="n">
        <f aca="false">AS8*(1-Premissas!$D$14)+AT6-AT7</f>
        <v>17094.1156723876</v>
      </c>
      <c r="AU8" s="22" t="n">
        <f aca="false">AT8*(1-Premissas!$D$14)+AU6-AU7</f>
        <v>17513.6452618727</v>
      </c>
      <c r="AV8" s="22" t="n">
        <f aca="false">AU8*(1-Premissas!$D$14)+AV6-AV7</f>
        <v>17895.4171883041</v>
      </c>
      <c r="AW8" s="22" t="n">
        <f aca="false">AV8*(1-Premissas!$D$14)+AW6-AW7</f>
        <v>18242.8296413568</v>
      </c>
      <c r="AX8" s="22" t="n">
        <f aca="false">AW8*(1-Premissas!$D$14)+AX6-AX7</f>
        <v>18558.9749736347</v>
      </c>
      <c r="AY8" s="22" t="n">
        <f aca="false">AX8*(1-Premissas!$D$14)+AY6-AY7</f>
        <v>18846.6672260075</v>
      </c>
      <c r="AZ8" s="22" t="n">
        <f aca="false">AY8*(1-Premissas!$D$14)+AZ6-AZ7</f>
        <v>19108.4671756669</v>
      </c>
      <c r="BA8" s="22" t="n">
        <f aca="false">AZ8*(1-Premissas!$D$14)+BA6-BA7</f>
        <v>19346.7051298568</v>
      </c>
      <c r="BB8" s="22" t="n">
        <f aca="false">BA8*(1-Premissas!$D$14)+BB6-BB7</f>
        <v>19563.5016681697</v>
      </c>
      <c r="BC8" s="22" t="n">
        <f aca="false">BB8*(1-Premissas!$D$14)+BC6-BC7</f>
        <v>19760.7865180345</v>
      </c>
      <c r="BD8" s="22" t="n">
        <f aca="false">BC8*(1-Premissas!$D$14)+BD6-BD7</f>
        <v>19940.3157314114</v>
      </c>
      <c r="BE8" s="22" t="n">
        <f aca="false">BD8*(1-Premissas!$D$14)+BE6-BE7</f>
        <v>20103.6873155843</v>
      </c>
      <c r="BF8" s="22" t="n">
        <f aca="false">BE8*(1-Premissas!$D$14)+BF6-BF7</f>
        <v>20252.3554571817</v>
      </c>
      <c r="BG8" s="22" t="n">
        <f aca="false">BF8*(1-Premissas!$D$14)+BG6-BG7</f>
        <v>20387.6434660354</v>
      </c>
      <c r="BH8" s="22" t="n">
        <f aca="false">BG8*(1-Premissas!$D$14)+BH6-BH7</f>
        <v>20510.7555540922</v>
      </c>
      <c r="BI8" s="22" t="n">
        <f aca="false">BH8*(1-Premissas!$D$14)+BI6-BI7</f>
        <v>20622.7875542239</v>
      </c>
      <c r="BJ8" s="22" t="n">
        <f aca="false">BI8*(1-Premissas!$D$14)+BJ6-BJ7</f>
        <v>20724.7366743438</v>
      </c>
      <c r="BK8" s="22" t="n">
        <f aca="false">BJ8*(1-Premissas!$D$14)+BK6-BK7</f>
        <v>20817.5103736528</v>
      </c>
    </row>
    <row r="9" customFormat="false" ht="15" hidden="false" customHeight="false" outlineLevel="0" collapsed="false">
      <c r="A9" s="9" t="s">
        <v>147</v>
      </c>
      <c r="B9" s="19" t="s">
        <v>144</v>
      </c>
      <c r="C9" s="22" t="n">
        <v>0</v>
      </c>
      <c r="D9" s="22" t="n">
        <f aca="false">D7*Premissas!$D$13</f>
        <v>0</v>
      </c>
      <c r="E9" s="22" t="n">
        <f aca="false">E7*Premissas!$D$13</f>
        <v>0</v>
      </c>
      <c r="F9" s="22" t="n">
        <f aca="false">F7*Premissas!$D$13</f>
        <v>9.075</v>
      </c>
      <c r="G9" s="22" t="n">
        <f aca="false">G7*Premissas!$D$13</f>
        <v>9.801</v>
      </c>
      <c r="H9" s="22" t="n">
        <f aca="false">H7*Premissas!$D$13</f>
        <v>10.58508</v>
      </c>
      <c r="I9" s="22" t="n">
        <f aca="false">I7*Premissas!$D$13</f>
        <v>11.4318864</v>
      </c>
      <c r="J9" s="22" t="n">
        <f aca="false">J7*Premissas!$D$13</f>
        <v>12.346437312</v>
      </c>
      <c r="K9" s="22" t="n">
        <f aca="false">K7*Premissas!$D$13</f>
        <v>13.33415229696</v>
      </c>
      <c r="L9" s="22" t="n">
        <f aca="false">L7*Premissas!$D$13</f>
        <v>14.4008844807168</v>
      </c>
      <c r="M9" s="22" t="n">
        <f aca="false">M7*Premissas!$D$13</f>
        <v>15.5529552391741</v>
      </c>
      <c r="N9" s="22" t="n">
        <f aca="false">N7*Premissas!$D$13</f>
        <v>16.7971916583081</v>
      </c>
      <c r="O9" s="22" t="n">
        <f aca="false">O7*Premissas!$D$13</f>
        <v>18.1409669909727</v>
      </c>
      <c r="P9" s="22" t="n">
        <f aca="false">P7*Premissas!$D$13</f>
        <v>19.5922443502506</v>
      </c>
      <c r="Q9" s="22" t="n">
        <f aca="false">Q7*Premissas!$D$13</f>
        <v>21.1596238982706</v>
      </c>
      <c r="R9" s="22" t="n">
        <f aca="false">R7*Premissas!$D$13</f>
        <v>22.8523938101322</v>
      </c>
      <c r="S9" s="22" t="n">
        <f aca="false">S7*Premissas!$D$13</f>
        <v>24.6805853149428</v>
      </c>
      <c r="T9" s="22" t="n">
        <f aca="false">T7*Premissas!$D$13</f>
        <v>26.6550321401383</v>
      </c>
      <c r="U9" s="22" t="n">
        <f aca="false">U7*Premissas!$D$13</f>
        <v>28.7874347113493</v>
      </c>
      <c r="V9" s="22" t="n">
        <f aca="false">V7*Premissas!$D$13</f>
        <v>31.0904294882573</v>
      </c>
      <c r="W9" s="22" t="n">
        <f aca="false">W7*Premissas!$D$13</f>
        <v>33.5776638473178</v>
      </c>
      <c r="X9" s="22" t="n">
        <f aca="false">X7*Premissas!$D$13</f>
        <v>36.2638769551033</v>
      </c>
      <c r="Y9" s="22" t="n">
        <f aca="false">Y7*Premissas!$D$13</f>
        <v>39.1649871115115</v>
      </c>
      <c r="Z9" s="22" t="n">
        <f aca="false">Z7*Premissas!$D$13</f>
        <v>42.2981860804325</v>
      </c>
      <c r="AA9" s="22" t="n">
        <f aca="false">AA7*Premissas!$D$13</f>
        <v>45.6820409668671</v>
      </c>
      <c r="AB9" s="22" t="n">
        <f aca="false">AB7*Premissas!$D$13</f>
        <v>49.3366042442164</v>
      </c>
      <c r="AC9" s="22" t="n">
        <f aca="false">AC7*Premissas!$D$13</f>
        <v>53.2835325837538</v>
      </c>
      <c r="AD9" s="22" t="n">
        <f aca="false">AD7*Premissas!$D$13</f>
        <v>57.5462151904541</v>
      </c>
      <c r="AE9" s="22" t="n">
        <f aca="false">AE7*Premissas!$D$13</f>
        <v>62.1499124056904</v>
      </c>
      <c r="AF9" s="22" t="n">
        <f aca="false">AF7*Premissas!$D$13</f>
        <v>67.1219053981456</v>
      </c>
      <c r="AG9" s="22" t="n">
        <f aca="false">AG7*Premissas!$D$13</f>
        <v>72.4916578299973</v>
      </c>
      <c r="AH9" s="22" t="n">
        <f aca="false">AH7*Premissas!$D$13</f>
        <v>78.2909904563971</v>
      </c>
      <c r="AI9" s="22" t="n">
        <f aca="false">AI7*Premissas!$D$13</f>
        <v>84.5542696929089</v>
      </c>
      <c r="AJ9" s="22" t="n">
        <f aca="false">AJ7*Premissas!$D$13</f>
        <v>91.3186112683416</v>
      </c>
      <c r="AK9" s="22" t="n">
        <f aca="false">AK7*Premissas!$D$13</f>
        <v>98.6241001698089</v>
      </c>
      <c r="AL9" s="22" t="n">
        <f aca="false">AL7*Premissas!$D$13</f>
        <v>106.514028183394</v>
      </c>
      <c r="AM9" s="22" t="n">
        <f aca="false">AM7*Premissas!$D$13</f>
        <v>115.035150438065</v>
      </c>
      <c r="AN9" s="22" t="n">
        <f aca="false">AN7*Premissas!$D$13</f>
        <v>124.23796247311</v>
      </c>
      <c r="AO9" s="22" t="n">
        <f aca="false">AO7*Premissas!$D$13</f>
        <v>133.1</v>
      </c>
      <c r="AP9" s="22" t="n">
        <f aca="false">AP7*Premissas!$D$13</f>
        <v>133.1</v>
      </c>
      <c r="AQ9" s="22" t="n">
        <f aca="false">AQ7*Premissas!$D$13</f>
        <v>133.1</v>
      </c>
      <c r="AR9" s="22" t="n">
        <f aca="false">AR7*Premissas!$D$13</f>
        <v>133.1</v>
      </c>
      <c r="AS9" s="22" t="n">
        <f aca="false">AS7*Premissas!$D$13</f>
        <v>133.1</v>
      </c>
      <c r="AT9" s="22" t="n">
        <f aca="false">AT7*Premissas!$D$13</f>
        <v>133.1</v>
      </c>
      <c r="AU9" s="22" t="n">
        <f aca="false">AU7*Premissas!$D$13</f>
        <v>133.1</v>
      </c>
      <c r="AV9" s="22" t="n">
        <f aca="false">AV7*Premissas!$D$13</f>
        <v>133.1</v>
      </c>
      <c r="AW9" s="22" t="n">
        <f aca="false">AW7*Premissas!$D$13</f>
        <v>133.1</v>
      </c>
      <c r="AX9" s="22" t="n">
        <f aca="false">AX7*Premissas!$D$13</f>
        <v>133.1</v>
      </c>
      <c r="AY9" s="22" t="n">
        <f aca="false">AY7*Premissas!$D$13</f>
        <v>133.1</v>
      </c>
      <c r="AZ9" s="22" t="n">
        <f aca="false">AZ7*Premissas!$D$13</f>
        <v>133.1</v>
      </c>
      <c r="BA9" s="22" t="n">
        <f aca="false">BA7*Premissas!$D$13</f>
        <v>133.1</v>
      </c>
      <c r="BB9" s="22" t="n">
        <f aca="false">BB7*Premissas!$D$13</f>
        <v>133.1</v>
      </c>
      <c r="BC9" s="22" t="n">
        <f aca="false">BC7*Premissas!$D$13</f>
        <v>133.1</v>
      </c>
      <c r="BD9" s="22" t="n">
        <f aca="false">BD7*Premissas!$D$13</f>
        <v>133.1</v>
      </c>
      <c r="BE9" s="22" t="n">
        <f aca="false">BE7*Premissas!$D$13</f>
        <v>133.1</v>
      </c>
      <c r="BF9" s="22" t="n">
        <f aca="false">BF7*Premissas!$D$13</f>
        <v>133.1</v>
      </c>
      <c r="BG9" s="22" t="n">
        <f aca="false">BG7*Premissas!$D$13</f>
        <v>133.1</v>
      </c>
      <c r="BH9" s="22" t="n">
        <f aca="false">BH7*Premissas!$D$13</f>
        <v>133.1</v>
      </c>
      <c r="BI9" s="22" t="n">
        <f aca="false">BI7*Premissas!$D$13</f>
        <v>133.1</v>
      </c>
      <c r="BJ9" s="22" t="n">
        <f aca="false">BJ7*Premissas!$D$13</f>
        <v>133.1</v>
      </c>
      <c r="BK9" s="22" t="n">
        <f aca="false">BK7*Premissas!$D$13</f>
        <v>133.1</v>
      </c>
    </row>
    <row r="10" customFormat="false" ht="15" hidden="false" customHeight="false" outlineLevel="0" collapsed="false">
      <c r="A10" s="9" t="s">
        <v>148</v>
      </c>
      <c r="B10" s="19" t="s">
        <v>144</v>
      </c>
      <c r="C10" s="22" t="n">
        <v>0</v>
      </c>
      <c r="D10" s="22" t="n">
        <f aca="false">D7*(1-Premissas!$D$13)</f>
        <v>0</v>
      </c>
      <c r="E10" s="22" t="n">
        <f aca="false">E7*(1-Premissas!$D$13)</f>
        <v>0</v>
      </c>
      <c r="F10" s="22" t="n">
        <f aca="false">F7*(1-Premissas!$D$13)</f>
        <v>7.425</v>
      </c>
      <c r="G10" s="22" t="n">
        <f aca="false">G7*(1-Premissas!$D$13)</f>
        <v>8.019</v>
      </c>
      <c r="H10" s="22" t="n">
        <f aca="false">H7*(1-Premissas!$D$13)</f>
        <v>8.66052</v>
      </c>
      <c r="I10" s="22" t="n">
        <f aca="false">I7*(1-Premissas!$D$13)</f>
        <v>9.3533616</v>
      </c>
      <c r="J10" s="22" t="n">
        <f aca="false">J7*(1-Premissas!$D$13)</f>
        <v>10.101630528</v>
      </c>
      <c r="K10" s="22" t="n">
        <f aca="false">K7*(1-Premissas!$D$13)</f>
        <v>10.90976097024</v>
      </c>
      <c r="L10" s="22" t="n">
        <f aca="false">L7*(1-Premissas!$D$13)</f>
        <v>11.7825418478592</v>
      </c>
      <c r="M10" s="22" t="n">
        <f aca="false">M7*(1-Premissas!$D$13)</f>
        <v>12.7251451956879</v>
      </c>
      <c r="N10" s="22" t="n">
        <f aca="false">N7*(1-Premissas!$D$13)</f>
        <v>13.743156811343</v>
      </c>
      <c r="O10" s="22" t="n">
        <f aca="false">O7*(1-Premissas!$D$13)</f>
        <v>14.8426093562504</v>
      </c>
      <c r="P10" s="22" t="n">
        <f aca="false">P7*(1-Premissas!$D$13)</f>
        <v>16.0300181047504</v>
      </c>
      <c r="Q10" s="22" t="n">
        <f aca="false">Q7*(1-Premissas!$D$13)</f>
        <v>17.3124195531305</v>
      </c>
      <c r="R10" s="22" t="n">
        <f aca="false">R7*(1-Premissas!$D$13)</f>
        <v>18.6974131173809</v>
      </c>
      <c r="S10" s="22" t="n">
        <f aca="false">S7*(1-Premissas!$D$13)</f>
        <v>20.1932061667714</v>
      </c>
      <c r="T10" s="22" t="n">
        <f aca="false">T7*(1-Premissas!$D$13)</f>
        <v>21.8086626601131</v>
      </c>
      <c r="U10" s="22" t="n">
        <f aca="false">U7*(1-Premissas!$D$13)</f>
        <v>23.5533556729222</v>
      </c>
      <c r="V10" s="22" t="n">
        <f aca="false">V7*(1-Premissas!$D$13)</f>
        <v>25.4376241267559</v>
      </c>
      <c r="W10" s="22" t="n">
        <f aca="false">W7*(1-Premissas!$D$13)</f>
        <v>27.4726340568964</v>
      </c>
      <c r="X10" s="22" t="n">
        <f aca="false">X7*(1-Premissas!$D$13)</f>
        <v>29.6704447814481</v>
      </c>
      <c r="Y10" s="22" t="n">
        <f aca="false">Y7*(1-Premissas!$D$13)</f>
        <v>32.044080363964</v>
      </c>
      <c r="Z10" s="22" t="n">
        <f aca="false">Z7*(1-Premissas!$D$13)</f>
        <v>34.6076067930811</v>
      </c>
      <c r="AA10" s="22" t="n">
        <f aca="false">AA7*(1-Premissas!$D$13)</f>
        <v>37.3762153365276</v>
      </c>
      <c r="AB10" s="22" t="n">
        <f aca="false">AB7*(1-Premissas!$D$13)</f>
        <v>40.3663125634498</v>
      </c>
      <c r="AC10" s="22" t="n">
        <f aca="false">AC7*(1-Premissas!$D$13)</f>
        <v>43.5956175685258</v>
      </c>
      <c r="AD10" s="22" t="n">
        <f aca="false">AD7*(1-Premissas!$D$13)</f>
        <v>47.0832669740079</v>
      </c>
      <c r="AE10" s="22" t="n">
        <f aca="false">AE7*(1-Premissas!$D$13)</f>
        <v>50.8499283319285</v>
      </c>
      <c r="AF10" s="22" t="n">
        <f aca="false">AF7*(1-Premissas!$D$13)</f>
        <v>54.9179225984828</v>
      </c>
      <c r="AG10" s="22" t="n">
        <f aca="false">AG7*(1-Premissas!$D$13)</f>
        <v>59.3113564063614</v>
      </c>
      <c r="AH10" s="22" t="n">
        <f aca="false">AH7*(1-Premissas!$D$13)</f>
        <v>64.0562649188703</v>
      </c>
      <c r="AI10" s="22" t="n">
        <f aca="false">AI7*(1-Premissas!$D$13)</f>
        <v>69.1807661123799</v>
      </c>
      <c r="AJ10" s="22" t="n">
        <f aca="false">AJ7*(1-Premissas!$D$13)</f>
        <v>74.7152274013704</v>
      </c>
      <c r="AK10" s="22" t="n">
        <f aca="false">AK7*(1-Premissas!$D$13)</f>
        <v>80.69244559348</v>
      </c>
      <c r="AL10" s="22" t="n">
        <f aca="false">AL7*(1-Premissas!$D$13)</f>
        <v>87.1478412409584</v>
      </c>
      <c r="AM10" s="22" t="n">
        <f aca="false">AM7*(1-Premissas!$D$13)</f>
        <v>94.1196685402351</v>
      </c>
      <c r="AN10" s="22" t="n">
        <f aca="false">AN7*(1-Premissas!$D$13)</f>
        <v>101.649242023454</v>
      </c>
      <c r="AO10" s="22" t="n">
        <f aca="false">AO7*(1-Premissas!$D$13)</f>
        <v>108.9</v>
      </c>
      <c r="AP10" s="22" t="n">
        <f aca="false">AP7*(1-Premissas!$D$13)</f>
        <v>108.9</v>
      </c>
      <c r="AQ10" s="22" t="n">
        <f aca="false">AQ7*(1-Premissas!$D$13)</f>
        <v>108.9</v>
      </c>
      <c r="AR10" s="22" t="n">
        <f aca="false">AR7*(1-Premissas!$D$13)</f>
        <v>108.9</v>
      </c>
      <c r="AS10" s="22" t="n">
        <f aca="false">AS7*(1-Premissas!$D$13)</f>
        <v>108.9</v>
      </c>
      <c r="AT10" s="22" t="n">
        <f aca="false">AT7*(1-Premissas!$D$13)</f>
        <v>108.9</v>
      </c>
      <c r="AU10" s="22" t="n">
        <f aca="false">AU7*(1-Premissas!$D$13)</f>
        <v>108.9</v>
      </c>
      <c r="AV10" s="22" t="n">
        <f aca="false">AV7*(1-Premissas!$D$13)</f>
        <v>108.9</v>
      </c>
      <c r="AW10" s="22" t="n">
        <f aca="false">AW7*(1-Premissas!$D$13)</f>
        <v>108.9</v>
      </c>
      <c r="AX10" s="22" t="n">
        <f aca="false">AX7*(1-Premissas!$D$13)</f>
        <v>108.9</v>
      </c>
      <c r="AY10" s="22" t="n">
        <f aca="false">AY7*(1-Premissas!$D$13)</f>
        <v>108.9</v>
      </c>
      <c r="AZ10" s="22" t="n">
        <f aca="false">AZ7*(1-Premissas!$D$13)</f>
        <v>108.9</v>
      </c>
      <c r="BA10" s="22" t="n">
        <f aca="false">BA7*(1-Premissas!$D$13)</f>
        <v>108.9</v>
      </c>
      <c r="BB10" s="22" t="n">
        <f aca="false">BB7*(1-Premissas!$D$13)</f>
        <v>108.9</v>
      </c>
      <c r="BC10" s="22" t="n">
        <f aca="false">BC7*(1-Premissas!$D$13)</f>
        <v>108.9</v>
      </c>
      <c r="BD10" s="22" t="n">
        <f aca="false">BD7*(1-Premissas!$D$13)</f>
        <v>108.9</v>
      </c>
      <c r="BE10" s="22" t="n">
        <f aca="false">BE7*(1-Premissas!$D$13)</f>
        <v>108.9</v>
      </c>
      <c r="BF10" s="22" t="n">
        <f aca="false">BF7*(1-Premissas!$D$13)</f>
        <v>108.9</v>
      </c>
      <c r="BG10" s="22" t="n">
        <f aca="false">BG7*(1-Premissas!$D$13)</f>
        <v>108.9</v>
      </c>
      <c r="BH10" s="22" t="n">
        <f aca="false">BH7*(1-Premissas!$D$13)</f>
        <v>108.9</v>
      </c>
      <c r="BI10" s="22" t="n">
        <f aca="false">BI7*(1-Premissas!$D$13)</f>
        <v>108.9</v>
      </c>
      <c r="BJ10" s="22" t="n">
        <f aca="false">BJ7*(1-Premissas!$D$13)</f>
        <v>108.9</v>
      </c>
      <c r="BK10" s="22" t="n">
        <f aca="false">BK7*(1-Premissas!$D$13)</f>
        <v>108.9</v>
      </c>
    </row>
    <row r="11" customFormat="false" ht="15" hidden="false" customHeight="false" outlineLevel="0" collapsed="false">
      <c r="A11" s="9" t="s">
        <v>149</v>
      </c>
      <c r="B11" s="19" t="s">
        <v>144</v>
      </c>
      <c r="C11" s="22" t="n">
        <v>0</v>
      </c>
      <c r="D11" s="22" t="n">
        <f aca="false">C11*(1-Premissas!$D$15)+D9</f>
        <v>0</v>
      </c>
      <c r="E11" s="22" t="n">
        <f aca="false">D11*(1-Premissas!$D$15)+E9</f>
        <v>0</v>
      </c>
      <c r="F11" s="22" t="n">
        <f aca="false">E11*(1-Premissas!$D$15)+F9</f>
        <v>9.075</v>
      </c>
      <c r="G11" s="22" t="n">
        <f aca="false">F11*(1-Premissas!$D$15)+G9</f>
        <v>18.513</v>
      </c>
      <c r="H11" s="22" t="n">
        <f aca="false">G11*(1-Premissas!$D$15)+H9</f>
        <v>28.35756</v>
      </c>
      <c r="I11" s="22" t="n">
        <f aca="false">H11*(1-Premissas!$D$15)+I9</f>
        <v>38.655144</v>
      </c>
      <c r="J11" s="22" t="n">
        <f aca="false">I11*(1-Premissas!$D$15)+J9</f>
        <v>49.455375552</v>
      </c>
      <c r="K11" s="22" t="n">
        <f aca="false">J11*(1-Premissas!$D$15)+K9</f>
        <v>60.81131282688</v>
      </c>
      <c r="L11" s="22" t="n">
        <f aca="false">K11*(1-Premissas!$D$15)+L9</f>
        <v>72.7797447945216</v>
      </c>
      <c r="M11" s="22" t="n">
        <f aca="false">L11*(1-Premissas!$D$15)+M9</f>
        <v>85.4215102419149</v>
      </c>
      <c r="N11" s="22" t="n">
        <f aca="false">M11*(1-Premissas!$D$15)+N9</f>
        <v>98.8018414905464</v>
      </c>
      <c r="O11" s="22" t="n">
        <f aca="false">N11*(1-Premissas!$D$15)+O9</f>
        <v>112.990734821897</v>
      </c>
      <c r="P11" s="22" t="n">
        <f aca="false">O11*(1-Premissas!$D$15)+P9</f>
        <v>128.063349779272</v>
      </c>
      <c r="Q11" s="22" t="n">
        <f aca="false">P11*(1-Premissas!$D$15)+Q9</f>
        <v>144.100439686372</v>
      </c>
      <c r="R11" s="22" t="n">
        <f aca="false">Q11*(1-Premissas!$D$15)+R9</f>
        <v>161.188815909049</v>
      </c>
      <c r="S11" s="22" t="n">
        <f aca="false">R11*(1-Premissas!$D$15)+S9</f>
        <v>179.42184858763</v>
      </c>
      <c r="T11" s="22" t="n">
        <f aca="false">S11*(1-Premissas!$D$15)+T9</f>
        <v>198.900006784263</v>
      </c>
      <c r="U11" s="22" t="n">
        <f aca="false">T11*(1-Premissas!$D$15)+U9</f>
        <v>219.731441224242</v>
      </c>
      <c r="V11" s="22" t="n">
        <f aca="false">U11*(1-Premissas!$D$15)+V9</f>
        <v>242.032613063529</v>
      </c>
      <c r="W11" s="22" t="n">
        <f aca="false">V11*(1-Premissas!$D$15)+W9</f>
        <v>265.928972388306</v>
      </c>
      <c r="X11" s="22" t="n">
        <f aca="false">W11*(1-Premissas!$D$15)+X9</f>
        <v>291.555690447877</v>
      </c>
      <c r="Y11" s="22" t="n">
        <f aca="false">X11*(1-Premissas!$D$15)+Y9</f>
        <v>319.058449941473</v>
      </c>
      <c r="Z11" s="22" t="n">
        <f aca="false">Y11*(1-Premissas!$D$15)+Z9</f>
        <v>348.594298024247</v>
      </c>
      <c r="AA11" s="22" t="n">
        <f aca="false">Z11*(1-Premissas!$D$15)+AA9</f>
        <v>380.332567070144</v>
      </c>
      <c r="AB11" s="22" t="n">
        <f aca="false">AA11*(1-Premissas!$D$15)+AB9</f>
        <v>414.455868631555</v>
      </c>
      <c r="AC11" s="22" t="n">
        <f aca="false">AB11*(1-Premissas!$D$15)+AC9</f>
        <v>451.161166470046</v>
      </c>
      <c r="AD11" s="22" t="n">
        <f aca="false">AC11*(1-Premissas!$D$15)+AD9</f>
        <v>490.660935001699</v>
      </c>
      <c r="AE11" s="22" t="n">
        <f aca="false">AD11*(1-Premissas!$D$15)+AE9</f>
        <v>533.184410007321</v>
      </c>
      <c r="AF11" s="22" t="n">
        <f aca="false">AE11*(1-Premissas!$D$15)+AF9</f>
        <v>578.978939005174</v>
      </c>
      <c r="AG11" s="22" t="n">
        <f aca="false">AF11*(1-Premissas!$D$15)+AG9</f>
        <v>628.311439274964</v>
      </c>
      <c r="AH11" s="22" t="n">
        <f aca="false">AG11*(1-Premissas!$D$15)+AH9</f>
        <v>681.469972160363</v>
      </c>
      <c r="AI11" s="22" t="n">
        <f aca="false">AH11*(1-Premissas!$D$15)+AI9</f>
        <v>738.765442966857</v>
      </c>
      <c r="AJ11" s="22" t="n">
        <f aca="false">AI11*(1-Premissas!$D$15)+AJ9</f>
        <v>800.533436516524</v>
      </c>
      <c r="AK11" s="22" t="n">
        <f aca="false">AJ11*(1-Premissas!$D$15)+AK9</f>
        <v>867.136199225672</v>
      </c>
      <c r="AL11" s="22" t="n">
        <f aca="false">AK11*(1-Premissas!$D$15)+AL9</f>
        <v>938.964779440039</v>
      </c>
      <c r="AM11" s="22" t="n">
        <f aca="false">AL11*(1-Premissas!$D$15)+AM9</f>
        <v>1016.4413387005</v>
      </c>
      <c r="AN11" s="22" t="n">
        <f aca="false">AM11*(1-Premissas!$D$15)+AN9</f>
        <v>1100.02164762559</v>
      </c>
      <c r="AO11" s="22" t="n">
        <f aca="false">AN11*(1-Premissas!$D$15)+AO9</f>
        <v>1189.12078172057</v>
      </c>
      <c r="AP11" s="22" t="n">
        <f aca="false">AO11*(1-Premissas!$D$15)+AP9</f>
        <v>1274.65595045175</v>
      </c>
      <c r="AQ11" s="22" t="n">
        <f aca="false">AP11*(1-Premissas!$D$15)+AQ9</f>
        <v>1356.76971243368</v>
      </c>
      <c r="AR11" s="22" t="n">
        <f aca="false">AQ11*(1-Premissas!$D$15)+AR9</f>
        <v>1435.59892393633</v>
      </c>
      <c r="AS11" s="22" t="n">
        <f aca="false">AR11*(1-Premissas!$D$15)+AS9</f>
        <v>1511.27496697888</v>
      </c>
      <c r="AT11" s="22" t="n">
        <f aca="false">AS11*(1-Premissas!$D$15)+AT9</f>
        <v>1583.92396829972</v>
      </c>
      <c r="AU11" s="22" t="n">
        <f aca="false">AT11*(1-Premissas!$D$15)+AU9</f>
        <v>1653.66700956773</v>
      </c>
      <c r="AV11" s="22" t="n">
        <f aca="false">AU11*(1-Premissas!$D$15)+AV9</f>
        <v>1720.62032918502</v>
      </c>
      <c r="AW11" s="22" t="n">
        <f aca="false">AV11*(1-Premissas!$D$15)+AW9</f>
        <v>1784.89551601762</v>
      </c>
      <c r="AX11" s="22" t="n">
        <f aca="false">AW11*(1-Premissas!$D$15)+AX9</f>
        <v>1846.59969537692</v>
      </c>
      <c r="AY11" s="22" t="n">
        <f aca="false">AX11*(1-Premissas!$D$15)+AY9</f>
        <v>1905.83570756184</v>
      </c>
      <c r="AZ11" s="22" t="n">
        <f aca="false">AY11*(1-Premissas!$D$15)+AZ9</f>
        <v>1962.70227925937</v>
      </c>
      <c r="BA11" s="22" t="n">
        <f aca="false">AZ11*(1-Premissas!$D$15)+BA9</f>
        <v>2017.29418808899</v>
      </c>
      <c r="BB11" s="22" t="n">
        <f aca="false">BA11*(1-Premissas!$D$15)+BB9</f>
        <v>2069.70242056543</v>
      </c>
      <c r="BC11" s="22" t="n">
        <f aca="false">BB11*(1-Premissas!$D$15)+BC9</f>
        <v>2120.01432374282</v>
      </c>
      <c r="BD11" s="22" t="n">
        <f aca="false">BC11*(1-Premissas!$D$15)+BD9</f>
        <v>2168.3137507931</v>
      </c>
      <c r="BE11" s="22" t="n">
        <f aca="false">BD11*(1-Premissas!$D$15)+BE9</f>
        <v>2214.68120076138</v>
      </c>
      <c r="BF11" s="22" t="n">
        <f aca="false">BE11*(1-Premissas!$D$15)+BF9</f>
        <v>2259.19395273092</v>
      </c>
      <c r="BG11" s="22" t="n">
        <f aca="false">BF11*(1-Premissas!$D$15)+BG9</f>
        <v>2301.92619462169</v>
      </c>
      <c r="BH11" s="22" t="n">
        <f aca="false">BG11*(1-Premissas!$D$15)+BH9</f>
        <v>2342.94914683682</v>
      </c>
      <c r="BI11" s="22" t="n">
        <f aca="false">BH11*(1-Premissas!$D$15)+BI9</f>
        <v>2382.33118096335</v>
      </c>
      <c r="BJ11" s="22" t="n">
        <f aca="false">BI11*(1-Premissas!$D$15)+BJ9</f>
        <v>2420.13793372481</v>
      </c>
      <c r="BK11" s="22" t="n">
        <f aca="false">BJ11*(1-Premissas!$D$15)+BK9</f>
        <v>2456.43241637582</v>
      </c>
    </row>
    <row r="12" customFormat="false" ht="15" hidden="false" customHeight="false" outlineLevel="0" collapsed="false">
      <c r="A12" s="9" t="s">
        <v>150</v>
      </c>
      <c r="B12" s="19" t="s">
        <v>144</v>
      </c>
      <c r="C12" s="22" t="n">
        <v>0</v>
      </c>
      <c r="D12" s="22" t="n">
        <f aca="false">C12*(1-Premissas!$D$15)+D10</f>
        <v>0</v>
      </c>
      <c r="E12" s="22" t="n">
        <f aca="false">D12*(1-Premissas!$D$15)+E10</f>
        <v>0</v>
      </c>
      <c r="F12" s="22" t="n">
        <f aca="false">E12*(1-Premissas!$D$15)+F10</f>
        <v>7.425</v>
      </c>
      <c r="G12" s="22" t="n">
        <f aca="false">F12*(1-Premissas!$D$15)+G10</f>
        <v>15.147</v>
      </c>
      <c r="H12" s="22" t="n">
        <f aca="false">G12*(1-Premissas!$D$15)+H10</f>
        <v>23.20164</v>
      </c>
      <c r="I12" s="22" t="n">
        <f aca="false">H12*(1-Premissas!$D$15)+I10</f>
        <v>31.626936</v>
      </c>
      <c r="J12" s="22" t="n">
        <f aca="false">I12*(1-Premissas!$D$15)+J10</f>
        <v>40.463489088</v>
      </c>
      <c r="K12" s="22" t="n">
        <f aca="false">J12*(1-Premissas!$D$15)+K10</f>
        <v>49.75471049472</v>
      </c>
      <c r="L12" s="22" t="n">
        <f aca="false">K12*(1-Premissas!$D$15)+L10</f>
        <v>59.5470639227904</v>
      </c>
      <c r="M12" s="22" t="n">
        <f aca="false">L12*(1-Premissas!$D$15)+M10</f>
        <v>69.8903265615667</v>
      </c>
      <c r="N12" s="22" t="n">
        <f aca="false">M12*(1-Premissas!$D$15)+N10</f>
        <v>80.837870310447</v>
      </c>
      <c r="O12" s="22" t="n">
        <f aca="false">N12*(1-Premissas!$D$15)+O10</f>
        <v>92.4469648542795</v>
      </c>
      <c r="P12" s="22" t="n">
        <f aca="false">O12*(1-Premissas!$D$15)+P10</f>
        <v>104.779104364859</v>
      </c>
      <c r="Q12" s="22" t="n">
        <f aca="false">P12*(1-Premissas!$D$15)+Q10</f>
        <v>117.900359743395</v>
      </c>
      <c r="R12" s="22" t="n">
        <f aca="false">Q12*(1-Premissas!$D$15)+R10</f>
        <v>131.88175847104</v>
      </c>
      <c r="S12" s="22" t="n">
        <f aca="false">R12*(1-Premissas!$D$15)+S10</f>
        <v>146.79969429897</v>
      </c>
      <c r="T12" s="22" t="n">
        <f aca="false">S12*(1-Premissas!$D$15)+T10</f>
        <v>162.736369187124</v>
      </c>
      <c r="U12" s="22" t="n">
        <f aca="false">T12*(1-Premissas!$D$15)+U10</f>
        <v>179.780270092561</v>
      </c>
      <c r="V12" s="22" t="n">
        <f aca="false">U12*(1-Premissas!$D$15)+V10</f>
        <v>198.026683415615</v>
      </c>
      <c r="W12" s="22" t="n">
        <f aca="false">V12*(1-Premissas!$D$15)+W10</f>
        <v>217.578250135887</v>
      </c>
      <c r="X12" s="22" t="n">
        <f aca="false">W12*(1-Premissas!$D$15)+X10</f>
        <v>238.545564911899</v>
      </c>
      <c r="Y12" s="22" t="n">
        <f aca="false">X12*(1-Premissas!$D$15)+Y10</f>
        <v>261.047822679387</v>
      </c>
      <c r="Z12" s="22" t="n">
        <f aca="false">Y12*(1-Premissas!$D$15)+Z10</f>
        <v>285.213516565293</v>
      </c>
      <c r="AA12" s="22" t="n">
        <f aca="false">Z12*(1-Premissas!$D$15)+AA10</f>
        <v>311.181191239209</v>
      </c>
      <c r="AB12" s="22" t="n">
        <f aca="false">AA12*(1-Premissas!$D$15)+AB10</f>
        <v>339.10025615309</v>
      </c>
      <c r="AC12" s="22" t="n">
        <f aca="false">AB12*(1-Premissas!$D$15)+AC10</f>
        <v>369.131863475492</v>
      </c>
      <c r="AD12" s="22" t="n">
        <f aca="false">AC12*(1-Premissas!$D$15)+AD10</f>
        <v>401.449855910481</v>
      </c>
      <c r="AE12" s="22" t="n">
        <f aca="false">AD12*(1-Premissas!$D$15)+AE10</f>
        <v>436.24179000599</v>
      </c>
      <c r="AF12" s="22" t="n">
        <f aca="false">AE12*(1-Premissas!$D$15)+AF10</f>
        <v>473.710041004233</v>
      </c>
      <c r="AG12" s="22" t="n">
        <f aca="false">AF12*(1-Premissas!$D$15)+AG10</f>
        <v>514.072995770425</v>
      </c>
      <c r="AH12" s="22" t="n">
        <f aca="false">AG12*(1-Premissas!$D$15)+AH10</f>
        <v>557.566340858478</v>
      </c>
      <c r="AI12" s="22" t="n">
        <f aca="false">AH12*(1-Premissas!$D$15)+AI10</f>
        <v>604.444453336519</v>
      </c>
      <c r="AJ12" s="22" t="n">
        <f aca="false">AI12*(1-Premissas!$D$15)+AJ10</f>
        <v>654.981902604429</v>
      </c>
      <c r="AK12" s="22" t="n">
        <f aca="false">AJ12*(1-Premissas!$D$15)+AK10</f>
        <v>709.475072093732</v>
      </c>
      <c r="AL12" s="22" t="n">
        <f aca="false">AK12*(1-Premissas!$D$15)+AL10</f>
        <v>768.243910450941</v>
      </c>
      <c r="AM12" s="22" t="n">
        <f aca="false">AL12*(1-Premissas!$D$15)+AM10</f>
        <v>831.633822573138</v>
      </c>
      <c r="AN12" s="22" t="n">
        <f aca="false">AM12*(1-Premissas!$D$15)+AN10</f>
        <v>900.017711693667</v>
      </c>
      <c r="AO12" s="22" t="n">
        <f aca="false">AN12*(1-Premissas!$D$15)+AO10</f>
        <v>972.91700322592</v>
      </c>
      <c r="AP12" s="22" t="n">
        <f aca="false">AO12*(1-Premissas!$D$15)+AP10</f>
        <v>1042.90032309688</v>
      </c>
      <c r="AQ12" s="22" t="n">
        <f aca="false">AP12*(1-Premissas!$D$15)+AQ10</f>
        <v>1110.08431017301</v>
      </c>
      <c r="AR12" s="22" t="n">
        <f aca="false">AQ12*(1-Premissas!$D$15)+AR10</f>
        <v>1174.58093776609</v>
      </c>
      <c r="AS12" s="22" t="n">
        <f aca="false">AR12*(1-Premissas!$D$15)+AS10</f>
        <v>1236.49770025544</v>
      </c>
      <c r="AT12" s="22" t="n">
        <f aca="false">AS12*(1-Premissas!$D$15)+AT10</f>
        <v>1295.93779224523</v>
      </c>
      <c r="AU12" s="22" t="n">
        <f aca="false">AT12*(1-Premissas!$D$15)+AU10</f>
        <v>1353.00028055542</v>
      </c>
      <c r="AV12" s="22" t="n">
        <f aca="false">AU12*(1-Premissas!$D$15)+AV10</f>
        <v>1407.7802693332</v>
      </c>
      <c r="AW12" s="22" t="n">
        <f aca="false">AV12*(1-Premissas!$D$15)+AW10</f>
        <v>1460.36905855987</v>
      </c>
      <c r="AX12" s="22" t="n">
        <f aca="false">AW12*(1-Premissas!$D$15)+AX10</f>
        <v>1510.85429621748</v>
      </c>
      <c r="AY12" s="22" t="n">
        <f aca="false">AX12*(1-Premissas!$D$15)+AY10</f>
        <v>1559.32012436878</v>
      </c>
      <c r="AZ12" s="22" t="n">
        <f aca="false">AY12*(1-Premissas!$D$15)+AZ10</f>
        <v>1605.84731939403</v>
      </c>
      <c r="BA12" s="22" t="n">
        <f aca="false">AZ12*(1-Premissas!$D$15)+BA10</f>
        <v>1650.51342661827</v>
      </c>
      <c r="BB12" s="22" t="n">
        <f aca="false">BA12*(1-Premissas!$D$15)+BB10</f>
        <v>1693.39288955354</v>
      </c>
      <c r="BC12" s="22" t="n">
        <f aca="false">BB12*(1-Premissas!$D$15)+BC10</f>
        <v>1734.55717397139</v>
      </c>
      <c r="BD12" s="22" t="n">
        <f aca="false">BC12*(1-Premissas!$D$15)+BD10</f>
        <v>1774.07488701254</v>
      </c>
      <c r="BE12" s="22" t="n">
        <f aca="false">BD12*(1-Premissas!$D$15)+BE10</f>
        <v>1812.01189153204</v>
      </c>
      <c r="BF12" s="22" t="n">
        <f aca="false">BE12*(1-Premissas!$D$15)+BF10</f>
        <v>1848.43141587076</v>
      </c>
      <c r="BG12" s="22" t="n">
        <f aca="false">BF12*(1-Premissas!$D$15)+BG10</f>
        <v>1883.39415923593</v>
      </c>
      <c r="BH12" s="22" t="n">
        <f aca="false">BG12*(1-Premissas!$D$15)+BH10</f>
        <v>1916.95839286649</v>
      </c>
      <c r="BI12" s="22" t="n">
        <f aca="false">BH12*(1-Premissas!$D$15)+BI10</f>
        <v>1949.18005715183</v>
      </c>
      <c r="BJ12" s="22" t="n">
        <f aca="false">BI12*(1-Premissas!$D$15)+BJ10</f>
        <v>1980.11285486576</v>
      </c>
      <c r="BK12" s="22" t="n">
        <f aca="false">BJ12*(1-Premissas!$D$15)+BK10</f>
        <v>2009.80834067113</v>
      </c>
    </row>
    <row r="13" customFormat="false" ht="15" hidden="false" customHeight="false" outlineLevel="0" collapsed="false">
      <c r="A13" s="13" t="s">
        <v>151</v>
      </c>
      <c r="B13" s="19" t="s">
        <v>144</v>
      </c>
      <c r="C13" s="23" t="n">
        <v>0</v>
      </c>
      <c r="D13" s="23" t="n">
        <f aca="false">D11+D12</f>
        <v>0</v>
      </c>
      <c r="E13" s="23" t="n">
        <f aca="false">E11+E12</f>
        <v>0</v>
      </c>
      <c r="F13" s="23" t="n">
        <f aca="false">F11+F12</f>
        <v>16.5</v>
      </c>
      <c r="G13" s="23" t="n">
        <f aca="false">G11+G12</f>
        <v>33.66</v>
      </c>
      <c r="H13" s="23" t="n">
        <f aca="false">H11+H12</f>
        <v>51.5592</v>
      </c>
      <c r="I13" s="23" t="n">
        <f aca="false">I11+I12</f>
        <v>70.28208</v>
      </c>
      <c r="J13" s="23" t="n">
        <f aca="false">J11+J12</f>
        <v>89.91886464</v>
      </c>
      <c r="K13" s="23" t="n">
        <f aca="false">K11+K12</f>
        <v>110.5660233216</v>
      </c>
      <c r="L13" s="23" t="n">
        <f aca="false">L11+L12</f>
        <v>132.326808717312</v>
      </c>
      <c r="M13" s="23" t="n">
        <f aca="false">M11+M12</f>
        <v>155.311836803482</v>
      </c>
      <c r="N13" s="23" t="n">
        <f aca="false">N11+N12</f>
        <v>179.639711800993</v>
      </c>
      <c r="O13" s="23" t="n">
        <f aca="false">O11+O12</f>
        <v>205.437699676177</v>
      </c>
      <c r="P13" s="23" t="n">
        <f aca="false">P11+P12</f>
        <v>232.842454144131</v>
      </c>
      <c r="Q13" s="23" t="n">
        <f aca="false">Q11+Q12</f>
        <v>262.000799429767</v>
      </c>
      <c r="R13" s="23" t="n">
        <f aca="false">R11+R12</f>
        <v>293.070574380089</v>
      </c>
      <c r="S13" s="23" t="n">
        <f aca="false">S11+S12</f>
        <v>326.2215428866</v>
      </c>
      <c r="T13" s="23" t="n">
        <f aca="false">T11+T12</f>
        <v>361.636375971387</v>
      </c>
      <c r="U13" s="23" t="n">
        <f aca="false">U11+U12</f>
        <v>399.511711316803</v>
      </c>
      <c r="V13" s="23" t="n">
        <f aca="false">V11+V12</f>
        <v>440.059296479144</v>
      </c>
      <c r="W13" s="23" t="n">
        <f aca="false">W11+W12</f>
        <v>483.507222524193</v>
      </c>
      <c r="X13" s="23" t="n">
        <f aca="false">X11+X12</f>
        <v>530.101255359776</v>
      </c>
      <c r="Y13" s="23" t="n">
        <f aca="false">Y11+Y12</f>
        <v>580.106272620861</v>
      </c>
      <c r="Z13" s="23" t="n">
        <f aca="false">Z11+Z12</f>
        <v>633.80781458954</v>
      </c>
      <c r="AA13" s="23" t="n">
        <f aca="false">AA11+AA12</f>
        <v>691.513758309353</v>
      </c>
      <c r="AB13" s="23" t="n">
        <f aca="false">AB11+AB12</f>
        <v>753.556124784645</v>
      </c>
      <c r="AC13" s="23" t="n">
        <f aca="false">AC11+AC12</f>
        <v>820.293029945539</v>
      </c>
      <c r="AD13" s="23" t="n">
        <f aca="false">AD11+AD12</f>
        <v>892.110790912179</v>
      </c>
      <c r="AE13" s="23" t="n">
        <f aca="false">AE11+AE12</f>
        <v>969.426200013311</v>
      </c>
      <c r="AF13" s="23" t="n">
        <f aca="false">AF11+AF12</f>
        <v>1052.68898000941</v>
      </c>
      <c r="AG13" s="23" t="n">
        <f aca="false">AG11+AG12</f>
        <v>1142.38443504539</v>
      </c>
      <c r="AH13" s="23" t="n">
        <f aca="false">AH11+AH12</f>
        <v>1239.03631301884</v>
      </c>
      <c r="AI13" s="23" t="n">
        <f aca="false">AI11+AI12</f>
        <v>1343.20989630338</v>
      </c>
      <c r="AJ13" s="23" t="n">
        <f aca="false">AJ11+AJ12</f>
        <v>1455.51533912095</v>
      </c>
      <c r="AK13" s="23" t="n">
        <f aca="false">AK11+AK12</f>
        <v>1576.6112713194</v>
      </c>
      <c r="AL13" s="23" t="n">
        <f aca="false">AL11+AL12</f>
        <v>1707.20868989098</v>
      </c>
      <c r="AM13" s="23" t="n">
        <f aca="false">AM11+AM12</f>
        <v>1848.07516127364</v>
      </c>
      <c r="AN13" s="23" t="n">
        <f aca="false">AN11+AN12</f>
        <v>2000.03935931926</v>
      </c>
      <c r="AO13" s="23" t="n">
        <f aca="false">AO11+AO12</f>
        <v>2162.03778494649</v>
      </c>
      <c r="AP13" s="23" t="n">
        <f aca="false">AP11+AP12</f>
        <v>2317.55627354863</v>
      </c>
      <c r="AQ13" s="23" t="n">
        <f aca="false">AQ11+AQ12</f>
        <v>2466.85402260668</v>
      </c>
      <c r="AR13" s="23" t="n">
        <f aca="false">AR11+AR12</f>
        <v>2610.17986170242</v>
      </c>
      <c r="AS13" s="23" t="n">
        <f aca="false">AS11+AS12</f>
        <v>2747.77266723432</v>
      </c>
      <c r="AT13" s="23" t="n">
        <f aca="false">AT11+AT12</f>
        <v>2879.86176054495</v>
      </c>
      <c r="AU13" s="23" t="n">
        <f aca="false">AU11+AU12</f>
        <v>3006.66729012315</v>
      </c>
      <c r="AV13" s="23" t="n">
        <f aca="false">AV11+AV12</f>
        <v>3128.40059851822</v>
      </c>
      <c r="AW13" s="23" t="n">
        <f aca="false">AW11+AW12</f>
        <v>3245.26457457749</v>
      </c>
      <c r="AX13" s="23" t="n">
        <f aca="false">AX11+AX12</f>
        <v>3357.45399159439</v>
      </c>
      <c r="AY13" s="23" t="n">
        <f aca="false">AY11+AY12</f>
        <v>3465.15583193062</v>
      </c>
      <c r="AZ13" s="23" t="n">
        <f aca="false">AZ11+AZ12</f>
        <v>3568.54959865339</v>
      </c>
      <c r="BA13" s="23" t="n">
        <f aca="false">BA11+BA12</f>
        <v>3667.80761470726</v>
      </c>
      <c r="BB13" s="23" t="n">
        <f aca="false">BB11+BB12</f>
        <v>3763.09531011897</v>
      </c>
      <c r="BC13" s="23" t="n">
        <f aca="false">BC11+BC12</f>
        <v>3854.57149771421</v>
      </c>
      <c r="BD13" s="23" t="n">
        <f aca="false">BD11+BD12</f>
        <v>3942.38863780564</v>
      </c>
      <c r="BE13" s="23" t="n">
        <f aca="false">BE11+BE12</f>
        <v>4026.69309229342</v>
      </c>
      <c r="BF13" s="23" t="n">
        <f aca="false">BF11+BF12</f>
        <v>4107.62536860168</v>
      </c>
      <c r="BG13" s="23" t="n">
        <f aca="false">BG11+BG12</f>
        <v>4185.32035385761</v>
      </c>
      <c r="BH13" s="23" t="n">
        <f aca="false">BH11+BH12</f>
        <v>4259.90753970331</v>
      </c>
      <c r="BI13" s="23" t="n">
        <f aca="false">BI11+BI12</f>
        <v>4331.51123811518</v>
      </c>
      <c r="BJ13" s="23" t="n">
        <f aca="false">BJ11+BJ12</f>
        <v>4400.25078859057</v>
      </c>
      <c r="BK13" s="23" t="n">
        <f aca="false">BK11+BK12</f>
        <v>4466.24075704695</v>
      </c>
    </row>
    <row r="14" customFormat="false" ht="15" hidden="false" customHeight="false" outlineLevel="0" collapsed="false">
      <c r="A14" s="13" t="s">
        <v>152</v>
      </c>
      <c r="B14" s="19" t="s">
        <v>144</v>
      </c>
      <c r="C14" s="23" t="n">
        <v>0</v>
      </c>
      <c r="D14" s="23" t="n">
        <f aca="false">D8+D13</f>
        <v>150</v>
      </c>
      <c r="E14" s="23" t="n">
        <f aca="false">E8+E13</f>
        <v>298.5</v>
      </c>
      <c r="F14" s="23" t="n">
        <f aca="false">F8+F13</f>
        <v>446.595</v>
      </c>
      <c r="G14" s="23" t="n">
        <f aca="false">G8+G13</f>
        <v>596.18325</v>
      </c>
      <c r="H14" s="23" t="n">
        <f aca="false">H8+H13</f>
        <v>748.2831015</v>
      </c>
      <c r="I14" s="23" t="n">
        <f aca="false">I8+I13</f>
        <v>903.914793885</v>
      </c>
      <c r="J14" s="23" t="n">
        <f aca="false">J8+J13</f>
        <v>1064.10771487695</v>
      </c>
      <c r="K14" s="23" t="n">
        <f aca="false">K8+K13</f>
        <v>1229.90760408695</v>
      </c>
      <c r="L14" s="23" t="n">
        <f aca="false">L8+L13</f>
        <v>1402.38375242749</v>
      </c>
      <c r="M14" s="23" t="n">
        <f aca="false">M8+M13</f>
        <v>1582.63624921055</v>
      </c>
      <c r="N14" s="23" t="n">
        <f aca="false">N8+N13</f>
        <v>1771.80332821269</v>
      </c>
      <c r="O14" s="23" t="n">
        <f aca="false">O8+O13</f>
        <v>1971.06886382179</v>
      </c>
      <c r="P14" s="23" t="n">
        <f aca="false">P8+P13</f>
        <v>2181.67006858448</v>
      </c>
      <c r="Q14" s="23" t="n">
        <f aca="false">Q8+Q13</f>
        <v>2404.90544404376</v>
      </c>
      <c r="R14" s="23" t="n">
        <f aca="false">R8+R13</f>
        <v>2642.14303768996</v>
      </c>
      <c r="S14" s="23" t="n">
        <f aca="false">S8+S13</f>
        <v>2894.82906014661</v>
      </c>
      <c r="T14" s="23" t="n">
        <f aca="false">T8+T13</f>
        <v>3164.49691837786</v>
      </c>
      <c r="U14" s="23" t="n">
        <f aca="false">U8+U13</f>
        <v>3452.77672274256</v>
      </c>
      <c r="V14" s="23" t="n">
        <f aca="false">V8+V13</f>
        <v>3761.40532813931</v>
      </c>
      <c r="W14" s="23" t="n">
        <f aca="false">W8+W13</f>
        <v>4092.23697229868</v>
      </c>
      <c r="X14" s="23" t="n">
        <f aca="false">X8+X13</f>
        <v>4447.25457749541</v>
      </c>
      <c r="Y14" s="23" t="n">
        <f aca="false">Y8+Y13</f>
        <v>4828.5817855924</v>
      </c>
      <c r="Z14" s="23" t="n">
        <f aca="false">Z8+Z13</f>
        <v>5238.495800408</v>
      </c>
      <c r="AA14" s="23" t="n">
        <f aca="false">AA8+AA13</f>
        <v>5679.44111593966</v>
      </c>
      <c r="AB14" s="23" t="n">
        <f aca="false">AB8+AB13</f>
        <v>6154.04421400658</v>
      </c>
      <c r="AC14" s="23" t="n">
        <f aca="false">AC8+AC13</f>
        <v>6665.12932041812</v>
      </c>
      <c r="AD14" s="23" t="n">
        <f aca="false">AD8+AD13</f>
        <v>7215.7353148653</v>
      </c>
      <c r="AE14" s="23" t="n">
        <f aca="false">AE8+AE13</f>
        <v>7809.13389640356</v>
      </c>
      <c r="AF14" s="23" t="n">
        <f aca="false">AF8+AF13</f>
        <v>8448.84911368488</v>
      </c>
      <c r="AG14" s="23" t="n">
        <f aca="false">AG8+AG13</f>
        <v>9138.67837704725</v>
      </c>
      <c r="AH14" s="23" t="n">
        <f aca="false">AH8+AH13</f>
        <v>9882.71507822628</v>
      </c>
      <c r="AI14" s="23" t="n">
        <f aca="false">AI8+AI13</f>
        <v>10685.3729528668</v>
      </c>
      <c r="AJ14" s="23" t="n">
        <f aca="false">AJ8+AJ13</f>
        <v>11551.4123312362</v>
      </c>
      <c r="AK14" s="23" t="n">
        <f aca="false">AK8+AK13</f>
        <v>12485.9684336383</v>
      </c>
      <c r="AL14" s="23" t="n">
        <f aca="false">AL8+AL13</f>
        <v>13494.5818790547</v>
      </c>
      <c r="AM14" s="23" t="n">
        <f aca="false">AM8+AM13</f>
        <v>14565.4299444343</v>
      </c>
      <c r="AN14" s="23" t="n">
        <f aca="false">AN8+AN13</f>
        <v>15546.9450074989</v>
      </c>
      <c r="AO14" s="23" t="n">
        <f aca="false">AO8+AO13</f>
        <v>16447.7219247899</v>
      </c>
      <c r="AP14" s="23" t="n">
        <f aca="false">AP8+AP13</f>
        <v>17275.5288408062</v>
      </c>
      <c r="AQ14" s="23" t="n">
        <f aca="false">AQ8+AQ13</f>
        <v>18036.6090588111</v>
      </c>
      <c r="AR14" s="23" t="n">
        <f aca="false">AR8+AR13</f>
        <v>18736.6569446484</v>
      </c>
      <c r="AS14" s="23" t="n">
        <f aca="false">AS8+AS13</f>
        <v>19380.8668127152</v>
      </c>
      <c r="AT14" s="23" t="n">
        <f aca="false">AT8+AT13</f>
        <v>19973.9774329325</v>
      </c>
      <c r="AU14" s="23" t="n">
        <f aca="false">AU8+AU13</f>
        <v>20520.3125519958</v>
      </c>
      <c r="AV14" s="23" t="n">
        <f aca="false">AV8+AV13</f>
        <v>21023.8177868224</v>
      </c>
      <c r="AW14" s="23" t="n">
        <f aca="false">AW8+AW13</f>
        <v>21488.0942159343</v>
      </c>
      <c r="AX14" s="23" t="n">
        <f aca="false">AX8+AX13</f>
        <v>21916.4289652291</v>
      </c>
      <c r="AY14" s="23" t="n">
        <f aca="false">AY8+AY13</f>
        <v>22311.8230579382</v>
      </c>
      <c r="AZ14" s="23" t="n">
        <f aca="false">AZ8+AZ13</f>
        <v>22677.0167743203</v>
      </c>
      <c r="BA14" s="23" t="n">
        <f aca="false">BA8+BA13</f>
        <v>23014.5127445641</v>
      </c>
      <c r="BB14" s="23" t="n">
        <f aca="false">BB8+BB13</f>
        <v>23326.5969782887</v>
      </c>
      <c r="BC14" s="23" t="n">
        <f aca="false">BC8+BC13</f>
        <v>23615.3580157487</v>
      </c>
      <c r="BD14" s="23" t="n">
        <f aca="false">BD8+BD13</f>
        <v>23882.704369217</v>
      </c>
      <c r="BE14" s="23" t="n">
        <f aca="false">BE8+BE13</f>
        <v>24130.3804078778</v>
      </c>
      <c r="BF14" s="23" t="n">
        <f aca="false">BF8+BF13</f>
        <v>24359.9808257834</v>
      </c>
      <c r="BG14" s="23" t="n">
        <f aca="false">BG8+BG13</f>
        <v>24572.963819893</v>
      </c>
      <c r="BH14" s="23" t="n">
        <f aca="false">BH8+BH13</f>
        <v>24770.6630937955</v>
      </c>
      <c r="BI14" s="23" t="n">
        <f aca="false">BI8+BI13</f>
        <v>24954.2987923391</v>
      </c>
      <c r="BJ14" s="23" t="n">
        <f aca="false">BJ8+BJ13</f>
        <v>25124.9874629343</v>
      </c>
      <c r="BK14" s="23" t="n">
        <f aca="false">BK8+BK13</f>
        <v>25283.7511306998</v>
      </c>
    </row>
    <row r="16" customFormat="false" ht="15" hidden="false" customHeight="false" outlineLevel="0" collapsed="false">
      <c r="A16" s="12" t="s">
        <v>153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</row>
    <row r="17" customFormat="false" ht="15" hidden="false" customHeight="false" outlineLevel="0" collapsed="false">
      <c r="A17" s="9" t="s">
        <v>154</v>
      </c>
      <c r="B17" s="19" t="s">
        <v>155</v>
      </c>
      <c r="C17" s="22" t="n">
        <v>0</v>
      </c>
      <c r="D17" s="22" t="n">
        <f aca="false">D11*Premissas!$D$5</f>
        <v>0</v>
      </c>
      <c r="E17" s="22" t="n">
        <f aca="false">E11*Premissas!$D$5</f>
        <v>0</v>
      </c>
      <c r="F17" s="22" t="n">
        <f aca="false">F11*Premissas!$D$5</f>
        <v>1805.925</v>
      </c>
      <c r="G17" s="22" t="n">
        <f aca="false">G11*Premissas!$D$5</f>
        <v>3684.087</v>
      </c>
      <c r="H17" s="22" t="n">
        <f aca="false">H11*Premissas!$D$5</f>
        <v>5643.15444</v>
      </c>
      <c r="I17" s="22" t="n">
        <f aca="false">I11*Premissas!$D$5</f>
        <v>7692.373656</v>
      </c>
      <c r="J17" s="22" t="n">
        <f aca="false">J11*Premissas!$D$5</f>
        <v>9841.619734848</v>
      </c>
      <c r="K17" s="22" t="n">
        <f aca="false">K11*Premissas!$D$5</f>
        <v>12101.4512525491</v>
      </c>
      <c r="L17" s="22" t="n">
        <f aca="false">L11*Premissas!$D$5</f>
        <v>14483.1692141098</v>
      </c>
      <c r="M17" s="22" t="n">
        <f aca="false">M11*Premissas!$D$5</f>
        <v>16998.8805381411</v>
      </c>
      <c r="N17" s="22" t="n">
        <f aca="false">N11*Premissas!$D$5</f>
        <v>19661.5664566187</v>
      </c>
      <c r="O17" s="22" t="n">
        <f aca="false">O11*Premissas!$D$5</f>
        <v>22485.1562295576</v>
      </c>
      <c r="P17" s="22" t="n">
        <f aca="false">P11*Premissas!$D$5</f>
        <v>25484.6066060751</v>
      </c>
      <c r="Q17" s="22" t="n">
        <f aca="false">Q11*Premissas!$D$5</f>
        <v>28675.987497588</v>
      </c>
      <c r="R17" s="22" t="n">
        <f aca="false">R11*Premissas!$D$5</f>
        <v>32076.5743659008</v>
      </c>
      <c r="S17" s="22" t="n">
        <f aca="false">S11*Premissas!$D$5</f>
        <v>35704.9478689383</v>
      </c>
      <c r="T17" s="22" t="n">
        <f aca="false">T11*Premissas!$D$5</f>
        <v>39581.1013500683</v>
      </c>
      <c r="U17" s="22" t="n">
        <f aca="false">U11*Premissas!$D$5</f>
        <v>43726.5568036241</v>
      </c>
      <c r="V17" s="22" t="n">
        <f aca="false">V11*Premissas!$D$5</f>
        <v>48164.4899996423</v>
      </c>
      <c r="W17" s="22" t="n">
        <f aca="false">W11*Premissas!$D$5</f>
        <v>52919.8655052729</v>
      </c>
      <c r="X17" s="22" t="n">
        <f aca="false">X11*Premissas!$D$5</f>
        <v>58019.5823991275</v>
      </c>
      <c r="Y17" s="22" t="n">
        <f aca="false">Y11*Premissas!$D$5</f>
        <v>63492.6315383532</v>
      </c>
      <c r="Z17" s="22" t="n">
        <f aca="false">Z11*Premissas!$D$5</f>
        <v>69370.2653068251</v>
      </c>
      <c r="AA17" s="22" t="n">
        <f aca="false">AA11*Premissas!$D$5</f>
        <v>75686.1808469587</v>
      </c>
      <c r="AB17" s="22" t="n">
        <f aca="false">AB11*Premissas!$D$5</f>
        <v>82476.7178576794</v>
      </c>
      <c r="AC17" s="22" t="n">
        <f aca="false">AC11*Premissas!$D$5</f>
        <v>89781.0721275392</v>
      </c>
      <c r="AD17" s="22" t="n">
        <f aca="false">AD11*Premissas!$D$5</f>
        <v>97641.526065338</v>
      </c>
      <c r="AE17" s="22" t="n">
        <f aca="false">AE11*Premissas!$D$5</f>
        <v>106103.697591457</v>
      </c>
      <c r="AF17" s="22" t="n">
        <f aca="false">AF11*Premissas!$D$5</f>
        <v>115216.80886203</v>
      </c>
      <c r="AG17" s="22" t="n">
        <f aca="false">AG11*Premissas!$D$5</f>
        <v>125033.976415718</v>
      </c>
      <c r="AH17" s="22" t="n">
        <f aca="false">AH11*Premissas!$D$5</f>
        <v>135612.524459912</v>
      </c>
      <c r="AI17" s="22" t="n">
        <f aca="false">AI11*Premissas!$D$5</f>
        <v>147014.323150405</v>
      </c>
      <c r="AJ17" s="22" t="n">
        <f aca="false">AJ11*Premissas!$D$5</f>
        <v>159306.153866788</v>
      </c>
      <c r="AK17" s="22" t="n">
        <f aca="false">AK11*Premissas!$D$5</f>
        <v>172560.103645909</v>
      </c>
      <c r="AL17" s="22" t="n">
        <f aca="false">AL11*Premissas!$D$5</f>
        <v>186853.991108568</v>
      </c>
      <c r="AM17" s="22" t="n">
        <f aca="false">AM11*Premissas!$D$5</f>
        <v>202271.8264014</v>
      </c>
      <c r="AN17" s="22" t="n">
        <f aca="false">AN11*Premissas!$D$5</f>
        <v>218904.307877493</v>
      </c>
      <c r="AO17" s="22" t="n">
        <f aca="false">AO11*Premissas!$D$5</f>
        <v>236635.035562393</v>
      </c>
      <c r="AP17" s="22" t="n">
        <f aca="false">AP11*Premissas!$D$5</f>
        <v>253656.534139897</v>
      </c>
      <c r="AQ17" s="22" t="n">
        <f aca="false">AQ11*Premissas!$D$5</f>
        <v>269997.172774302</v>
      </c>
      <c r="AR17" s="22" t="n">
        <f aca="false">AR11*Premissas!$D$5</f>
        <v>285684.185863329</v>
      </c>
      <c r="AS17" s="22" t="n">
        <f aca="false">AS11*Premissas!$D$5</f>
        <v>300743.718428796</v>
      </c>
      <c r="AT17" s="22" t="n">
        <f aca="false">AT11*Premissas!$D$5</f>
        <v>315200.869691644</v>
      </c>
      <c r="AU17" s="22" t="n">
        <f aca="false">AU11*Premissas!$D$5</f>
        <v>329079.734903979</v>
      </c>
      <c r="AV17" s="22" t="n">
        <f aca="false">AV11*Premissas!$D$5</f>
        <v>342403.44550782</v>
      </c>
      <c r="AW17" s="22" t="n">
        <f aca="false">AW11*Premissas!$D$5</f>
        <v>355194.207687507</v>
      </c>
      <c r="AX17" s="22" t="n">
        <f aca="false">AX11*Premissas!$D$5</f>
        <v>367473.339380006</v>
      </c>
      <c r="AY17" s="22" t="n">
        <f aca="false">AY11*Premissas!$D$5</f>
        <v>379261.305804806</v>
      </c>
      <c r="AZ17" s="22" t="n">
        <f aca="false">AZ11*Premissas!$D$5</f>
        <v>390577.753572614</v>
      </c>
      <c r="BA17" s="22" t="n">
        <f aca="false">BA11*Premissas!$D$5</f>
        <v>401441.543429709</v>
      </c>
      <c r="BB17" s="22" t="n">
        <f aca="false">BB11*Premissas!$D$5</f>
        <v>411870.781692521</v>
      </c>
      <c r="BC17" s="22" t="n">
        <f aca="false">BC11*Premissas!$D$5</f>
        <v>421882.85042482</v>
      </c>
      <c r="BD17" s="22" t="n">
        <f aca="false">BD11*Premissas!$D$5</f>
        <v>431494.436407827</v>
      </c>
      <c r="BE17" s="22" t="n">
        <f aca="false">BE11*Premissas!$D$5</f>
        <v>440721.558951514</v>
      </c>
      <c r="BF17" s="22" t="n">
        <f aca="false">BF11*Premissas!$D$5</f>
        <v>449579.596593454</v>
      </c>
      <c r="BG17" s="22" t="n">
        <f aca="false">BG11*Premissas!$D$5</f>
        <v>458083.312729715</v>
      </c>
      <c r="BH17" s="22" t="n">
        <f aca="false">BH11*Premissas!$D$5</f>
        <v>466246.880220527</v>
      </c>
      <c r="BI17" s="22" t="n">
        <f aca="false">BI11*Premissas!$D$5</f>
        <v>474083.905011706</v>
      </c>
      <c r="BJ17" s="22" t="n">
        <f aca="false">BJ11*Premissas!$D$5</f>
        <v>481607.448811238</v>
      </c>
      <c r="BK17" s="22" t="n">
        <f aca="false">BK11*Premissas!$D$5</f>
        <v>488830.050858788</v>
      </c>
    </row>
    <row r="18" customFormat="false" ht="15" hidden="false" customHeight="false" outlineLevel="0" collapsed="false">
      <c r="A18" s="9" t="s">
        <v>156</v>
      </c>
      <c r="B18" s="19" t="s">
        <v>155</v>
      </c>
      <c r="C18" s="22" t="n">
        <v>0</v>
      </c>
      <c r="D18" s="22" t="n">
        <f aca="false">D12*Premissas!$D$6</f>
        <v>0</v>
      </c>
      <c r="E18" s="22" t="n">
        <f aca="false">E12*Premissas!$D$6</f>
        <v>0</v>
      </c>
      <c r="F18" s="22" t="n">
        <f aca="false">F12*Premissas!$D$6</f>
        <v>2962.575</v>
      </c>
      <c r="G18" s="22" t="n">
        <f aca="false">G12*Premissas!$D$6</f>
        <v>6043.653</v>
      </c>
      <c r="H18" s="22" t="n">
        <f aca="false">H12*Premissas!$D$6</f>
        <v>9257.45436</v>
      </c>
      <c r="I18" s="22" t="n">
        <f aca="false">I12*Premissas!$D$6</f>
        <v>12619.147464</v>
      </c>
      <c r="J18" s="22" t="n">
        <f aca="false">J12*Premissas!$D$6</f>
        <v>16144.932146112</v>
      </c>
      <c r="K18" s="22" t="n">
        <f aca="false">K12*Premissas!$D$6</f>
        <v>19852.1294873933</v>
      </c>
      <c r="L18" s="22" t="n">
        <f aca="false">L12*Premissas!$D$6</f>
        <v>23759.2785051934</v>
      </c>
      <c r="M18" s="22" t="n">
        <f aca="false">M12*Premissas!$D$6</f>
        <v>27886.2402980651</v>
      </c>
      <c r="N18" s="22" t="n">
        <f aca="false">N12*Premissas!$D$6</f>
        <v>32254.3102538684</v>
      </c>
      <c r="O18" s="22" t="n">
        <f aca="false">O12*Premissas!$D$6</f>
        <v>36886.3389768575</v>
      </c>
      <c r="P18" s="22" t="n">
        <f aca="false">P12*Premissas!$D$6</f>
        <v>41806.8626415787</v>
      </c>
      <c r="Q18" s="22" t="n">
        <f aca="false">Q12*Premissas!$D$6</f>
        <v>47042.2435376146</v>
      </c>
      <c r="R18" s="22" t="n">
        <f aca="false">R12*Premissas!$D$6</f>
        <v>52620.821629945</v>
      </c>
      <c r="S18" s="22" t="n">
        <f aca="false">S12*Premissas!$D$6</f>
        <v>58573.078025289</v>
      </c>
      <c r="T18" s="22" t="n">
        <f aca="false">T12*Premissas!$D$6</f>
        <v>64931.8113056625</v>
      </c>
      <c r="U18" s="22" t="n">
        <f aca="false">U12*Premissas!$D$6</f>
        <v>71732.327766932</v>
      </c>
      <c r="V18" s="22" t="n">
        <f aca="false">V12*Premissas!$D$6</f>
        <v>79012.6466828303</v>
      </c>
      <c r="W18" s="22" t="n">
        <f aca="false">W12*Premissas!$D$6</f>
        <v>86813.7218042188</v>
      </c>
      <c r="X18" s="22" t="n">
        <f aca="false">X12*Premissas!$D$6</f>
        <v>95179.6803998478</v>
      </c>
      <c r="Y18" s="22" t="n">
        <f aca="false">Y12*Premissas!$D$6</f>
        <v>104158.081249076</v>
      </c>
      <c r="Z18" s="22" t="n">
        <f aca="false">Z12*Premissas!$D$6</f>
        <v>113800.193109552</v>
      </c>
      <c r="AA18" s="22" t="n">
        <f aca="false">AA12*Premissas!$D$6</f>
        <v>124161.295304444</v>
      </c>
      <c r="AB18" s="22" t="n">
        <f aca="false">AB12*Premissas!$D$6</f>
        <v>135301.002205083</v>
      </c>
      <c r="AC18" s="22" t="n">
        <f aca="false">AC12*Premissas!$D$6</f>
        <v>147283.613526721</v>
      </c>
      <c r="AD18" s="22" t="n">
        <f aca="false">AD12*Premissas!$D$6</f>
        <v>160178.492508282</v>
      </c>
      <c r="AE18" s="22" t="n">
        <f aca="false">AE12*Premissas!$D$6</f>
        <v>174060.47421239</v>
      </c>
      <c r="AF18" s="22" t="n">
        <f aca="false">AF12*Premissas!$D$6</f>
        <v>189010.306360689</v>
      </c>
      <c r="AG18" s="22" t="n">
        <f aca="false">AG12*Premissas!$D$6</f>
        <v>205115.1253124</v>
      </c>
      <c r="AH18" s="22" t="n">
        <f aca="false">AH12*Premissas!$D$6</f>
        <v>222468.970002533</v>
      </c>
      <c r="AI18" s="22" t="n">
        <f aca="false">AI12*Premissas!$D$6</f>
        <v>241173.336881271</v>
      </c>
      <c r="AJ18" s="22" t="n">
        <f aca="false">AJ12*Premissas!$D$6</f>
        <v>261337.779139167</v>
      </c>
      <c r="AK18" s="22" t="n">
        <f aca="false">AK12*Premissas!$D$6</f>
        <v>283080.553765399</v>
      </c>
      <c r="AL18" s="22" t="n">
        <f aca="false">AL12*Premissas!$D$6</f>
        <v>306529.320269925</v>
      </c>
      <c r="AM18" s="22" t="n">
        <f aca="false">AM12*Premissas!$D$6</f>
        <v>331821.895206682</v>
      </c>
      <c r="AN18" s="22" t="n">
        <f aca="false">AN12*Premissas!$D$6</f>
        <v>359107.066965773</v>
      </c>
      <c r="AO18" s="22" t="n">
        <f aca="false">AO12*Premissas!$D$6</f>
        <v>388193.884287142</v>
      </c>
      <c r="AP18" s="22" t="n">
        <f aca="false">AP12*Premissas!$D$6</f>
        <v>416117.228915656</v>
      </c>
      <c r="AQ18" s="22" t="n">
        <f aca="false">AQ12*Premissas!$D$6</f>
        <v>442923.63975903</v>
      </c>
      <c r="AR18" s="22" t="n">
        <f aca="false">AR12*Premissas!$D$6</f>
        <v>468657.794168669</v>
      </c>
      <c r="AS18" s="22" t="n">
        <f aca="false">AS12*Premissas!$D$6</f>
        <v>493362.582401922</v>
      </c>
      <c r="AT18" s="22" t="n">
        <f aca="false">AT12*Premissas!$D$6</f>
        <v>517079.179105845</v>
      </c>
      <c r="AU18" s="22" t="n">
        <f aca="false">AU12*Premissas!$D$6</f>
        <v>539847.111941611</v>
      </c>
      <c r="AV18" s="22" t="n">
        <f aca="false">AV12*Premissas!$D$6</f>
        <v>561704.327463947</v>
      </c>
      <c r="AW18" s="22" t="n">
        <f aca="false">AW12*Premissas!$D$6</f>
        <v>582687.254365389</v>
      </c>
      <c r="AX18" s="22" t="n">
        <f aca="false">AX12*Premissas!$D$6</f>
        <v>602830.864190774</v>
      </c>
      <c r="AY18" s="22" t="n">
        <f aca="false">AY12*Premissas!$D$6</f>
        <v>622168.729623143</v>
      </c>
      <c r="AZ18" s="22" t="n">
        <f aca="false">AZ12*Premissas!$D$6</f>
        <v>640733.080438217</v>
      </c>
      <c r="BA18" s="22" t="n">
        <f aca="false">BA12*Premissas!$D$6</f>
        <v>658554.857220688</v>
      </c>
      <c r="BB18" s="22" t="n">
        <f aca="false">BB12*Premissas!$D$6</f>
        <v>675663.762931861</v>
      </c>
      <c r="BC18" s="22" t="n">
        <f aca="false">BC12*Premissas!$D$6</f>
        <v>692088.312414586</v>
      </c>
      <c r="BD18" s="22" t="n">
        <f aca="false">BD12*Premissas!$D$6</f>
        <v>707855.879918003</v>
      </c>
      <c r="BE18" s="22" t="n">
        <f aca="false">BE12*Premissas!$D$6</f>
        <v>722992.744721283</v>
      </c>
      <c r="BF18" s="22" t="n">
        <f aca="false">BF12*Premissas!$D$6</f>
        <v>737524.134932432</v>
      </c>
      <c r="BG18" s="22" t="n">
        <f aca="false">BG12*Premissas!$D$6</f>
        <v>751474.269535134</v>
      </c>
      <c r="BH18" s="22" t="n">
        <f aca="false">BH12*Premissas!$D$6</f>
        <v>764866.398753729</v>
      </c>
      <c r="BI18" s="22" t="n">
        <f aca="false">BI12*Premissas!$D$6</f>
        <v>777722.84280358</v>
      </c>
      <c r="BJ18" s="22" t="n">
        <f aca="false">BJ12*Premissas!$D$6</f>
        <v>790065.029091437</v>
      </c>
      <c r="BK18" s="22" t="n">
        <f aca="false">BK12*Premissas!$D$6</f>
        <v>801913.527927779</v>
      </c>
    </row>
    <row r="19" customFormat="false" ht="15" hidden="false" customHeight="false" outlineLevel="0" collapsed="false">
      <c r="A19" s="9" t="s">
        <v>157</v>
      </c>
      <c r="B19" s="19" t="s">
        <v>158</v>
      </c>
      <c r="C19" s="24" t="n">
        <v>0</v>
      </c>
      <c r="D19" s="24" t="n">
        <f aca="false">D13*Premissas!$D$18</f>
        <v>0</v>
      </c>
      <c r="E19" s="24" t="n">
        <f aca="false">E13*Premissas!$D$18</f>
        <v>0</v>
      </c>
      <c r="F19" s="24" t="n">
        <f aca="false">F13*Premissas!$D$18</f>
        <v>140.25</v>
      </c>
      <c r="G19" s="24" t="n">
        <f aca="false">G13*Premissas!$D$18</f>
        <v>286.11</v>
      </c>
      <c r="H19" s="24" t="n">
        <f aca="false">H13*Premissas!$D$18</f>
        <v>438.2532</v>
      </c>
      <c r="I19" s="24" t="n">
        <f aca="false">I13*Premissas!$D$18</f>
        <v>597.39768</v>
      </c>
      <c r="J19" s="24" t="n">
        <f aca="false">J13*Premissas!$D$18</f>
        <v>764.31034944</v>
      </c>
      <c r="K19" s="24" t="n">
        <f aca="false">K13*Premissas!$D$18</f>
        <v>939.8111982336</v>
      </c>
      <c r="L19" s="24" t="n">
        <f aca="false">L13*Premissas!$D$18</f>
        <v>1124.77787409715</v>
      </c>
      <c r="M19" s="24" t="n">
        <f aca="false">M13*Premissas!$D$18</f>
        <v>1320.15061282959</v>
      </c>
      <c r="N19" s="24" t="n">
        <f aca="false">N13*Premissas!$D$18</f>
        <v>1526.93755030844</v>
      </c>
      <c r="O19" s="24" t="n">
        <f aca="false">O13*Premissas!$D$18</f>
        <v>1746.2204472475</v>
      </c>
      <c r="P19" s="24" t="n">
        <f aca="false">P13*Premissas!$D$18</f>
        <v>1979.16086022511</v>
      </c>
      <c r="Q19" s="24" t="n">
        <f aca="false">Q13*Premissas!$D$18</f>
        <v>2227.00679515302</v>
      </c>
      <c r="R19" s="24" t="n">
        <f aca="false">R13*Premissas!$D$18</f>
        <v>2491.09988223076</v>
      </c>
      <c r="S19" s="24" t="n">
        <f aca="false">S13*Premissas!$D$18</f>
        <v>2772.8831145361</v>
      </c>
      <c r="T19" s="24" t="n">
        <f aca="false">T13*Premissas!$D$18</f>
        <v>3073.90919575679</v>
      </c>
      <c r="U19" s="24" t="n">
        <f aca="false">U13*Premissas!$D$18</f>
        <v>3395.84954619283</v>
      </c>
      <c r="V19" s="24" t="n">
        <f aca="false">V13*Premissas!$D$18</f>
        <v>3740.50402007272</v>
      </c>
      <c r="W19" s="24" t="n">
        <f aca="false">W13*Premissas!$D$18</f>
        <v>4109.81139145564</v>
      </c>
      <c r="X19" s="24" t="n">
        <f aca="false">X13*Premissas!$D$18</f>
        <v>4505.8606705581</v>
      </c>
      <c r="Y19" s="24" t="n">
        <f aca="false">Y13*Premissas!$D$18</f>
        <v>4930.90331727732</v>
      </c>
      <c r="Z19" s="24" t="n">
        <f aca="false">Z13*Premissas!$D$18</f>
        <v>5387.36642401109</v>
      </c>
      <c r="AA19" s="24" t="n">
        <f aca="false">AA13*Premissas!$D$18</f>
        <v>5877.8669456295</v>
      </c>
      <c r="AB19" s="24" t="n">
        <f aca="false">AB13*Premissas!$D$18</f>
        <v>6405.22706066948</v>
      </c>
      <c r="AC19" s="24" t="n">
        <f aca="false">AC13*Premissas!$D$18</f>
        <v>6972.49075453708</v>
      </c>
      <c r="AD19" s="24" t="n">
        <f aca="false">AD13*Premissas!$D$18</f>
        <v>7582.94172275352</v>
      </c>
      <c r="AE19" s="24" t="n">
        <f aca="false">AE13*Premissas!$D$18</f>
        <v>8240.12270011314</v>
      </c>
      <c r="AF19" s="24" t="n">
        <f aca="false">AF13*Premissas!$D$18</f>
        <v>8947.85633007996</v>
      </c>
      <c r="AG19" s="24" t="n">
        <f aca="false">AG13*Premissas!$D$18</f>
        <v>9710.26769788581</v>
      </c>
      <c r="AH19" s="24" t="n">
        <f aca="false">AH13*Premissas!$D$18</f>
        <v>10531.8086606601</v>
      </c>
      <c r="AI19" s="24" t="n">
        <f aca="false">AI13*Premissas!$D$18</f>
        <v>11417.2841185787</v>
      </c>
      <c r="AJ19" s="24" t="n">
        <f aca="false">AJ13*Premissas!$D$18</f>
        <v>12371.8803825281</v>
      </c>
      <c r="AK19" s="24" t="n">
        <f aca="false">AK13*Premissas!$D$18</f>
        <v>13401.1958062149</v>
      </c>
      <c r="AL19" s="24" t="n">
        <f aca="false">AL13*Premissas!$D$18</f>
        <v>14511.2738640733</v>
      </c>
      <c r="AM19" s="24" t="n">
        <f aca="false">AM13*Premissas!$D$18</f>
        <v>15708.6388708259</v>
      </c>
      <c r="AN19" s="24" t="n">
        <f aca="false">AN13*Premissas!$D$18</f>
        <v>17000.3345542137</v>
      </c>
      <c r="AO19" s="24" t="n">
        <f aca="false">AO13*Premissas!$D$18</f>
        <v>18377.3211720452</v>
      </c>
      <c r="AP19" s="24" t="n">
        <f aca="false">AP13*Premissas!$D$18</f>
        <v>19699.2283251633</v>
      </c>
      <c r="AQ19" s="24" t="n">
        <f aca="false">AQ13*Premissas!$D$18</f>
        <v>20968.2591921568</v>
      </c>
      <c r="AR19" s="24" t="n">
        <f aca="false">AR13*Premissas!$D$18</f>
        <v>22186.5288244705</v>
      </c>
      <c r="AS19" s="24" t="n">
        <f aca="false">AS13*Premissas!$D$18</f>
        <v>23356.0676714917</v>
      </c>
      <c r="AT19" s="24" t="n">
        <f aca="false">AT13*Premissas!$D$18</f>
        <v>24478.8249646321</v>
      </c>
      <c r="AU19" s="24" t="n">
        <f aca="false">AU13*Premissas!$D$18</f>
        <v>25556.6719660468</v>
      </c>
      <c r="AV19" s="24" t="n">
        <f aca="false">AV13*Premissas!$D$18</f>
        <v>26591.4050874049</v>
      </c>
      <c r="AW19" s="24" t="n">
        <f aca="false">AW13*Premissas!$D$18</f>
        <v>27584.7488839087</v>
      </c>
      <c r="AX19" s="24" t="n">
        <f aca="false">AX13*Premissas!$D$18</f>
        <v>28538.3589285524</v>
      </c>
      <c r="AY19" s="24" t="n">
        <f aca="false">AY13*Premissas!$D$18</f>
        <v>29453.8245714103</v>
      </c>
      <c r="AZ19" s="24" t="n">
        <f aca="false">AZ13*Premissas!$D$18</f>
        <v>30332.6715885539</v>
      </c>
      <c r="BA19" s="24" t="n">
        <f aca="false">BA13*Premissas!$D$18</f>
        <v>31176.3647250117</v>
      </c>
      <c r="BB19" s="24" t="n">
        <f aca="false">BB13*Premissas!$D$18</f>
        <v>31986.3101360112</v>
      </c>
      <c r="BC19" s="24" t="n">
        <f aca="false">BC13*Premissas!$D$18</f>
        <v>32763.8577305708</v>
      </c>
      <c r="BD19" s="24" t="n">
        <f aca="false">BD13*Premissas!$D$18</f>
        <v>33510.303421348</v>
      </c>
      <c r="BE19" s="24" t="n">
        <f aca="false">BE13*Premissas!$D$18</f>
        <v>34226.891284494</v>
      </c>
      <c r="BF19" s="24" t="n">
        <f aca="false">BF13*Premissas!$D$18</f>
        <v>34914.8156331143</v>
      </c>
      <c r="BG19" s="24" t="n">
        <f aca="false">BG13*Premissas!$D$18</f>
        <v>35575.2230077897</v>
      </c>
      <c r="BH19" s="24" t="n">
        <f aca="false">BH13*Premissas!$D$18</f>
        <v>36209.2140874781</v>
      </c>
      <c r="BI19" s="24" t="n">
        <f aca="false">BI13*Premissas!$D$18</f>
        <v>36817.845523979</v>
      </c>
      <c r="BJ19" s="24" t="n">
        <f aca="false">BJ13*Premissas!$D$18</f>
        <v>37402.1317030198</v>
      </c>
      <c r="BK19" s="24" t="n">
        <f aca="false">BK13*Premissas!$D$18</f>
        <v>37963.046434899</v>
      </c>
    </row>
    <row r="20" customFormat="false" ht="15" hidden="false" customHeight="false" outlineLevel="0" collapsed="false">
      <c r="A20" s="9" t="s">
        <v>159</v>
      </c>
      <c r="B20" s="19" t="s">
        <v>158</v>
      </c>
      <c r="C20" s="24" t="n">
        <v>0</v>
      </c>
      <c r="D20" s="24" t="n">
        <f aca="false">D8*Premissas!$D$19</f>
        <v>180</v>
      </c>
      <c r="E20" s="24" t="n">
        <f aca="false">E8*Premissas!$D$19</f>
        <v>358.2</v>
      </c>
      <c r="F20" s="24" t="n">
        <f aca="false">F8*Premissas!$D$19</f>
        <v>516.114</v>
      </c>
      <c r="G20" s="24" t="n">
        <f aca="false">G8*Premissas!$D$19</f>
        <v>675.0279</v>
      </c>
      <c r="H20" s="24" t="n">
        <f aca="false">H8*Premissas!$D$19</f>
        <v>836.0686818</v>
      </c>
      <c r="I20" s="24" t="n">
        <f aca="false">I8*Premissas!$D$19</f>
        <v>1000.359256662</v>
      </c>
      <c r="J20" s="24" t="n">
        <f aca="false">J8*Premissas!$D$19</f>
        <v>1169.02662028434</v>
      </c>
      <c r="K20" s="24" t="n">
        <f aca="false">K8*Premissas!$D$19</f>
        <v>1343.20989691842</v>
      </c>
      <c r="L20" s="24" t="n">
        <f aca="false">L8*Premissas!$D$19</f>
        <v>1524.06833245221</v>
      </c>
      <c r="M20" s="24" t="n">
        <f aca="false">M8*Premissas!$D$19</f>
        <v>1712.78929488848</v>
      </c>
      <c r="N20" s="24" t="n">
        <f aca="false">N8*Premissas!$D$19</f>
        <v>1910.59633969403</v>
      </c>
      <c r="O20" s="24" t="n">
        <f aca="false">O8*Premissas!$D$19</f>
        <v>2118.75739697473</v>
      </c>
      <c r="P20" s="24" t="n">
        <f aca="false">P8*Premissas!$D$19</f>
        <v>2338.59313732842</v>
      </c>
      <c r="Q20" s="24" t="n">
        <f aca="false">Q8*Premissas!$D$19</f>
        <v>2571.48557353679</v>
      </c>
      <c r="R20" s="24" t="n">
        <f aca="false">R8*Premissas!$D$19</f>
        <v>2818.88695597184</v>
      </c>
      <c r="S20" s="24" t="n">
        <f aca="false">S8*Premissas!$D$19</f>
        <v>3082.32902071201</v>
      </c>
      <c r="T20" s="24" t="n">
        <f aca="false">T8*Premissas!$D$19</f>
        <v>3363.43265088777</v>
      </c>
      <c r="U20" s="24" t="n">
        <f aca="false">U8*Premissas!$D$19</f>
        <v>3663.9180137109</v>
      </c>
      <c r="V20" s="24" t="n">
        <f aca="false">V8*Premissas!$D$19</f>
        <v>3985.61523799219</v>
      </c>
      <c r="W20" s="24" t="n">
        <f aca="false">W8*Premissas!$D$19</f>
        <v>4330.47569972939</v>
      </c>
      <c r="X20" s="24" t="n">
        <f aca="false">X8*Premissas!$D$19</f>
        <v>4700.58398656276</v>
      </c>
      <c r="Y20" s="24" t="n">
        <f aca="false">Y8*Premissas!$D$19</f>
        <v>5098.17061556585</v>
      </c>
      <c r="Z20" s="24" t="n">
        <f aca="false">Z8*Premissas!$D$19</f>
        <v>5525.62558298215</v>
      </c>
      <c r="AA20" s="24" t="n">
        <f aca="false">AA8*Premissas!$D$19</f>
        <v>5985.51282915637</v>
      </c>
      <c r="AB20" s="24" t="n">
        <f aca="false">AB8*Premissas!$D$19</f>
        <v>6480.58570706632</v>
      </c>
      <c r="AC20" s="24" t="n">
        <f aca="false">AC8*Premissas!$D$19</f>
        <v>7013.80354856709</v>
      </c>
      <c r="AD20" s="24" t="n">
        <f aca="false">AD8*Premissas!$D$19</f>
        <v>7588.34942874374</v>
      </c>
      <c r="AE20" s="24" t="n">
        <f aca="false">AE8*Premissas!$D$19</f>
        <v>8207.6492356683</v>
      </c>
      <c r="AF20" s="24" t="n">
        <f aca="false">AF8*Premissas!$D$19</f>
        <v>8875.39216041057</v>
      </c>
      <c r="AG20" s="24" t="n">
        <f aca="false">AG8*Premissas!$D$19</f>
        <v>9595.55273040223</v>
      </c>
      <c r="AH20" s="24" t="n">
        <f aca="false">AH8*Premissas!$D$19</f>
        <v>10372.4145182489</v>
      </c>
      <c r="AI20" s="24" t="n">
        <f aca="false">AI8*Premissas!$D$19</f>
        <v>11210.5956678761</v>
      </c>
      <c r="AJ20" s="24" t="n">
        <f aca="false">AJ8*Premissas!$D$19</f>
        <v>12115.0763905383</v>
      </c>
      <c r="AK20" s="24" t="n">
        <f aca="false">AK8*Premissas!$D$19</f>
        <v>13091.2285947826</v>
      </c>
      <c r="AL20" s="24" t="n">
        <f aca="false">AL8*Premissas!$D$19</f>
        <v>14144.8478269964</v>
      </c>
      <c r="AM20" s="24" t="n">
        <f aca="false">AM8*Premissas!$D$19</f>
        <v>15260.8257397928</v>
      </c>
      <c r="AN20" s="24" t="n">
        <f aca="false">AN8*Premissas!$D$19</f>
        <v>16256.2867778155</v>
      </c>
      <c r="AO20" s="24" t="n">
        <f aca="false">AO8*Premissas!$D$19</f>
        <v>17142.8209678122</v>
      </c>
      <c r="AP20" s="24" t="n">
        <f aca="false">AP8*Premissas!$D$19</f>
        <v>17949.5670807091</v>
      </c>
      <c r="AQ20" s="24" t="n">
        <f aca="false">AQ8*Premissas!$D$19</f>
        <v>18683.7060434452</v>
      </c>
      <c r="AR20" s="24" t="n">
        <f aca="false">AR8*Premissas!$D$19</f>
        <v>19351.7724995352</v>
      </c>
      <c r="AS20" s="24" t="n">
        <f aca="false">AS8*Premissas!$D$19</f>
        <v>19959.712974577</v>
      </c>
      <c r="AT20" s="24" t="n">
        <f aca="false">AT8*Premissas!$D$19</f>
        <v>20512.9388068651</v>
      </c>
      <c r="AU20" s="24" t="n">
        <f aca="false">AU8*Premissas!$D$19</f>
        <v>21016.3743142472</v>
      </c>
      <c r="AV20" s="24" t="n">
        <f aca="false">AV8*Premissas!$D$19</f>
        <v>21474.500625965</v>
      </c>
      <c r="AW20" s="24" t="n">
        <f aca="false">AW8*Premissas!$D$19</f>
        <v>21891.3955696281</v>
      </c>
      <c r="AX20" s="24" t="n">
        <f aca="false">AX8*Premissas!$D$19</f>
        <v>22270.7699683616</v>
      </c>
      <c r="AY20" s="24" t="n">
        <f aca="false">AY8*Premissas!$D$19</f>
        <v>22616.0006712091</v>
      </c>
      <c r="AZ20" s="24" t="n">
        <f aca="false">AZ8*Premissas!$D$19</f>
        <v>22930.1606108002</v>
      </c>
      <c r="BA20" s="24" t="n">
        <f aca="false">BA8*Premissas!$D$19</f>
        <v>23216.0461558282</v>
      </c>
      <c r="BB20" s="24" t="n">
        <f aca="false">BB8*Premissas!$D$19</f>
        <v>23476.2020018037</v>
      </c>
      <c r="BC20" s="24" t="n">
        <f aca="false">BC8*Premissas!$D$19</f>
        <v>23712.9438216413</v>
      </c>
      <c r="BD20" s="24" t="n">
        <f aca="false">BD8*Premissas!$D$19</f>
        <v>23928.3788776936</v>
      </c>
      <c r="BE20" s="24" t="n">
        <f aca="false">BE8*Premissas!$D$19</f>
        <v>24124.4247787012</v>
      </c>
      <c r="BF20" s="24" t="n">
        <f aca="false">BF8*Premissas!$D$19</f>
        <v>24302.8265486181</v>
      </c>
      <c r="BG20" s="24" t="n">
        <f aca="false">BG8*Premissas!$D$19</f>
        <v>24465.1721592425</v>
      </c>
      <c r="BH20" s="24" t="n">
        <f aca="false">BH8*Premissas!$D$19</f>
        <v>24612.9066649106</v>
      </c>
      <c r="BI20" s="24" t="n">
        <f aca="false">BI8*Premissas!$D$19</f>
        <v>24747.3450650687</v>
      </c>
      <c r="BJ20" s="24" t="n">
        <f aca="false">BJ8*Premissas!$D$19</f>
        <v>24869.6840092125</v>
      </c>
      <c r="BK20" s="24" t="n">
        <f aca="false">BK8*Premissas!$D$19</f>
        <v>24981.0124483834</v>
      </c>
    </row>
    <row r="21" customFormat="false" ht="15" hidden="false" customHeight="false" outlineLevel="0" collapsed="false">
      <c r="A21" s="9" t="s">
        <v>160</v>
      </c>
      <c r="B21" s="19" t="s">
        <v>155</v>
      </c>
      <c r="C21" s="22" t="n">
        <v>0</v>
      </c>
      <c r="D21" s="22" t="n">
        <f aca="false">(D19+D20)*Premissas!$D$22</f>
        <v>5400</v>
      </c>
      <c r="E21" s="22" t="n">
        <f aca="false">(E19+E20)*Premissas!$D$22</f>
        <v>10746</v>
      </c>
      <c r="F21" s="22" t="n">
        <f aca="false">(F19+F20)*Premissas!$D$22</f>
        <v>19690.92</v>
      </c>
      <c r="G21" s="22" t="n">
        <f aca="false">(G19+G20)*Premissas!$D$22</f>
        <v>28834.137</v>
      </c>
      <c r="H21" s="22" t="n">
        <f aca="false">(H19+H20)*Premissas!$D$22</f>
        <v>38229.656454</v>
      </c>
      <c r="I21" s="22" t="n">
        <f aca="false">(I19+I20)*Premissas!$D$22</f>
        <v>47932.70809986</v>
      </c>
      <c r="J21" s="22" t="n">
        <f aca="false">(J19+J20)*Premissas!$D$22</f>
        <v>58000.1090917302</v>
      </c>
      <c r="K21" s="22" t="n">
        <f aca="false">(K19+K20)*Premissas!$D$22</f>
        <v>68490.6328545607</v>
      </c>
      <c r="L21" s="22" t="n">
        <f aca="false">(L19+L20)*Premissas!$D$22</f>
        <v>79465.3861964809</v>
      </c>
      <c r="M21" s="22" t="n">
        <f aca="false">(M19+M20)*Premissas!$D$22</f>
        <v>90988.1972315421</v>
      </c>
      <c r="N21" s="22" t="n">
        <f aca="false">(N19+N20)*Premissas!$D$22</f>
        <v>103126.016700074</v>
      </c>
      <c r="O21" s="22" t="n">
        <f aca="false">(O19+O20)*Premissas!$D$22</f>
        <v>115949.335326667</v>
      </c>
      <c r="P21" s="22" t="n">
        <f aca="false">(P19+P20)*Premissas!$D$22</f>
        <v>129532.619926606</v>
      </c>
      <c r="Q21" s="22" t="n">
        <f aca="false">(Q19+Q20)*Premissas!$D$22</f>
        <v>143954.771060694</v>
      </c>
      <c r="R21" s="22" t="n">
        <f aca="false">(R19+R20)*Premissas!$D$22</f>
        <v>159299.605146078</v>
      </c>
      <c r="S21" s="22" t="n">
        <f aca="false">(S19+S20)*Premissas!$D$22</f>
        <v>175656.364057443</v>
      </c>
      <c r="T21" s="22" t="n">
        <f aca="false">(T19+T20)*Premissas!$D$22</f>
        <v>193120.255399337</v>
      </c>
      <c r="U21" s="22" t="n">
        <f aca="false">(U19+U20)*Premissas!$D$22</f>
        <v>211793.026797112</v>
      </c>
      <c r="V21" s="22" t="n">
        <f aca="false">(V19+V20)*Premissas!$D$22</f>
        <v>231783.577741948</v>
      </c>
      <c r="W21" s="22" t="n">
        <f aca="false">(W19+W20)*Premissas!$D$22</f>
        <v>253208.612735551</v>
      </c>
      <c r="X21" s="22" t="n">
        <f aca="false">(X19+X20)*Premissas!$D$22</f>
        <v>276193.339713626</v>
      </c>
      <c r="Y21" s="22" t="n">
        <f aca="false">(Y19+Y20)*Premissas!$D$22</f>
        <v>300872.217985295</v>
      </c>
      <c r="Z21" s="22" t="n">
        <f aca="false">(Z19+Z20)*Premissas!$D$22</f>
        <v>327389.760209797</v>
      </c>
      <c r="AA21" s="22" t="n">
        <f aca="false">(AA19+AA20)*Premissas!$D$22</f>
        <v>355901.393243576</v>
      </c>
      <c r="AB21" s="22" t="n">
        <f aca="false">(AB19+AB20)*Premissas!$D$22</f>
        <v>386574.383032074</v>
      </c>
      <c r="AC21" s="22" t="n">
        <f aca="false">(AC19+AC20)*Premissas!$D$22</f>
        <v>419588.829093125</v>
      </c>
      <c r="AD21" s="22" t="n">
        <f aca="false">(AD19+AD20)*Premissas!$D$22</f>
        <v>455138.734544918</v>
      </c>
      <c r="AE21" s="22" t="n">
        <f aca="false">(AE19+AE20)*Premissas!$D$22</f>
        <v>493433.158073443</v>
      </c>
      <c r="AF21" s="22" t="n">
        <f aca="false">(AF19+AF20)*Premissas!$D$22</f>
        <v>534697.454714716</v>
      </c>
      <c r="AG21" s="22" t="n">
        <f aca="false">(AG19+AG20)*Premissas!$D$22</f>
        <v>579174.612848641</v>
      </c>
      <c r="AH21" s="22" t="n">
        <f aca="false">(AH19+AH20)*Premissas!$D$22</f>
        <v>627126.695367272</v>
      </c>
      <c r="AI21" s="22" t="n">
        <f aca="false">(AI19+AI20)*Premissas!$D$22</f>
        <v>678836.393593643</v>
      </c>
      <c r="AJ21" s="22" t="n">
        <f aca="false">(AJ19+AJ20)*Premissas!$D$22</f>
        <v>734608.703191992</v>
      </c>
      <c r="AK21" s="22" t="n">
        <f aca="false">(AK19+AK20)*Premissas!$D$22</f>
        <v>794772.732029927</v>
      </c>
      <c r="AL21" s="22" t="n">
        <f aca="false">(AL19+AL20)*Premissas!$D$22</f>
        <v>859683.650732092</v>
      </c>
      <c r="AM21" s="22" t="n">
        <f aca="false">(AM19+AM20)*Premissas!$D$22</f>
        <v>929083.938318562</v>
      </c>
      <c r="AN21" s="22" t="n">
        <f aca="false">(AN19+AN20)*Premissas!$D$22</f>
        <v>997698.639960877</v>
      </c>
      <c r="AO21" s="22" t="n">
        <f aca="false">(AO19+AO20)*Premissas!$D$22</f>
        <v>1065604.26419572</v>
      </c>
      <c r="AP21" s="22" t="n">
        <f aca="false">(AP19+AP20)*Premissas!$D$22</f>
        <v>1129463.86217617</v>
      </c>
      <c r="AQ21" s="22" t="n">
        <f aca="false">(AQ19+AQ20)*Premissas!$D$22</f>
        <v>1189558.95706806</v>
      </c>
      <c r="AR21" s="22" t="n">
        <f aca="false">(AR19+AR20)*Premissas!$D$22</f>
        <v>1246149.03972017</v>
      </c>
      <c r="AS21" s="22" t="n">
        <f aca="false">(AS19+AS20)*Premissas!$D$22</f>
        <v>1299473.41938206</v>
      </c>
      <c r="AT21" s="22" t="n">
        <f aca="false">(AT19+AT20)*Premissas!$D$22</f>
        <v>1349752.91314491</v>
      </c>
      <c r="AU21" s="22" t="n">
        <f aca="false">(AU19+AU20)*Premissas!$D$22</f>
        <v>1397191.38840882</v>
      </c>
      <c r="AV21" s="22" t="n">
        <f aca="false">(AV19+AV20)*Premissas!$D$22</f>
        <v>1441977.1714011</v>
      </c>
      <c r="AW21" s="22" t="n">
        <f aca="false">(AW19+AW20)*Premissas!$D$22</f>
        <v>1484284.3336061</v>
      </c>
      <c r="AX21" s="22" t="n">
        <f aca="false">(AX19+AX20)*Premissas!$D$22</f>
        <v>1524273.86690742</v>
      </c>
      <c r="AY21" s="22" t="n">
        <f aca="false">(AY19+AY20)*Premissas!$D$22</f>
        <v>1562094.75727858</v>
      </c>
      <c r="AZ21" s="22" t="n">
        <f aca="false">(AZ19+AZ20)*Premissas!$D$22</f>
        <v>1597884.96598062</v>
      </c>
      <c r="BA21" s="22" t="n">
        <f aca="false">(BA19+BA20)*Premissas!$D$22</f>
        <v>1631772.3264252</v>
      </c>
      <c r="BB21" s="22" t="n">
        <f aca="false">(BB19+BB20)*Premissas!$D$22</f>
        <v>1663875.36413445</v>
      </c>
      <c r="BC21" s="22" t="n">
        <f aca="false">(BC19+BC20)*Premissas!$D$22</f>
        <v>1694304.04656636</v>
      </c>
      <c r="BD21" s="22" t="n">
        <f aca="false">(BD19+BD20)*Premissas!$D$22</f>
        <v>1723160.46897125</v>
      </c>
      <c r="BE21" s="22" t="n">
        <f aca="false">(BE19+BE20)*Premissas!$D$22</f>
        <v>1750539.48189586</v>
      </c>
      <c r="BF21" s="22" t="n">
        <f aca="false">(BF19+BF20)*Premissas!$D$22</f>
        <v>1776529.26545197</v>
      </c>
      <c r="BG21" s="22" t="n">
        <f aca="false">(BG19+BG20)*Premissas!$D$22</f>
        <v>1801211.85501096</v>
      </c>
      <c r="BH21" s="22" t="n">
        <f aca="false">(BH19+BH20)*Premissas!$D$22</f>
        <v>1824663.62257166</v>
      </c>
      <c r="BI21" s="22" t="n">
        <f aca="false">(BI19+BI20)*Premissas!$D$22</f>
        <v>1846955.71767143</v>
      </c>
      <c r="BJ21" s="22" t="n">
        <f aca="false">(BJ19+BJ20)*Premissas!$D$22</f>
        <v>1868154.47136697</v>
      </c>
      <c r="BK21" s="22" t="n">
        <f aca="false">(BK19+BK20)*Premissas!$D$22</f>
        <v>1888321.76649847</v>
      </c>
    </row>
    <row r="22" customFormat="false" ht="15" hidden="false" customHeight="false" outlineLevel="0" collapsed="false">
      <c r="A22" s="9" t="s">
        <v>161</v>
      </c>
      <c r="B22" s="19" t="s">
        <v>155</v>
      </c>
      <c r="C22" s="22" t="n">
        <v>0</v>
      </c>
      <c r="D22" s="22" t="n">
        <f aca="false">(D19+D20)*Premissas!$D$23</f>
        <v>6300</v>
      </c>
      <c r="E22" s="22" t="n">
        <f aca="false">(E19+E20)*Premissas!$D$23</f>
        <v>12537</v>
      </c>
      <c r="F22" s="22" t="n">
        <f aca="false">(F19+F20)*Premissas!$D$23</f>
        <v>22972.74</v>
      </c>
      <c r="G22" s="22" t="n">
        <f aca="false">(G19+G20)*Premissas!$D$23</f>
        <v>33639.8265</v>
      </c>
      <c r="H22" s="22" t="n">
        <f aca="false">(H19+H20)*Premissas!$D$23</f>
        <v>44601.265863</v>
      </c>
      <c r="I22" s="22" t="n">
        <f aca="false">(I19+I20)*Premissas!$D$23</f>
        <v>55921.49278317</v>
      </c>
      <c r="J22" s="22" t="n">
        <f aca="false">(J19+J20)*Premissas!$D$23</f>
        <v>67666.7939403519</v>
      </c>
      <c r="K22" s="22" t="n">
        <f aca="false">(K19+K20)*Premissas!$D$23</f>
        <v>79905.7383303208</v>
      </c>
      <c r="L22" s="22" t="n">
        <f aca="false">(L19+L20)*Premissas!$D$23</f>
        <v>92709.6172292278</v>
      </c>
      <c r="M22" s="22" t="n">
        <f aca="false">(M19+M20)*Premissas!$D$23</f>
        <v>106152.896770132</v>
      </c>
      <c r="N22" s="22" t="n">
        <f aca="false">(N19+N20)*Premissas!$D$23</f>
        <v>120313.686150087</v>
      </c>
      <c r="O22" s="22" t="n">
        <f aca="false">(O19+O20)*Premissas!$D$23</f>
        <v>135274.224547778</v>
      </c>
      <c r="P22" s="22" t="n">
        <f aca="false">(P19+P20)*Premissas!$D$23</f>
        <v>151121.389914374</v>
      </c>
      <c r="Q22" s="22" t="n">
        <f aca="false">(Q19+Q20)*Premissas!$D$23</f>
        <v>167947.232904143</v>
      </c>
      <c r="R22" s="22" t="n">
        <f aca="false">(R19+R20)*Premissas!$D$23</f>
        <v>185849.539337091</v>
      </c>
      <c r="S22" s="22" t="n">
        <f aca="false">(S19+S20)*Premissas!$D$23</f>
        <v>204932.424733684</v>
      </c>
      <c r="T22" s="22" t="n">
        <f aca="false">(T19+T20)*Premissas!$D$23</f>
        <v>225306.96463256</v>
      </c>
      <c r="U22" s="22" t="n">
        <f aca="false">(U19+U20)*Premissas!$D$23</f>
        <v>247091.86459663</v>
      </c>
      <c r="V22" s="22" t="n">
        <f aca="false">(V19+V20)*Premissas!$D$23</f>
        <v>270414.174032272</v>
      </c>
      <c r="W22" s="22" t="n">
        <f aca="false">(W19+W20)*Premissas!$D$23</f>
        <v>295410.048191476</v>
      </c>
      <c r="X22" s="22" t="n">
        <f aca="false">(X19+X20)*Premissas!$D$23</f>
        <v>322225.56299923</v>
      </c>
      <c r="Y22" s="22" t="n">
        <f aca="false">(Y19+Y20)*Premissas!$D$23</f>
        <v>351017.587649511</v>
      </c>
      <c r="Z22" s="22" t="n">
        <f aca="false">(Z19+Z20)*Premissas!$D$23</f>
        <v>381954.720244763</v>
      </c>
      <c r="AA22" s="22" t="n">
        <f aca="false">(AA19+AA20)*Premissas!$D$23</f>
        <v>415218.292117505</v>
      </c>
      <c r="AB22" s="22" t="n">
        <f aca="false">(AB19+AB20)*Premissas!$D$23</f>
        <v>451003.446870753</v>
      </c>
      <c r="AC22" s="22" t="n">
        <f aca="false">(AC19+AC20)*Premissas!$D$23</f>
        <v>489520.300608646</v>
      </c>
      <c r="AD22" s="22" t="n">
        <f aca="false">(AD19+AD20)*Premissas!$D$23</f>
        <v>530995.190302404</v>
      </c>
      <c r="AE22" s="22" t="n">
        <f aca="false">(AE19+AE20)*Premissas!$D$23</f>
        <v>575672.01775235</v>
      </c>
      <c r="AF22" s="22" t="n">
        <f aca="false">(AF19+AF20)*Premissas!$D$23</f>
        <v>623813.697167169</v>
      </c>
      <c r="AG22" s="22" t="n">
        <f aca="false">(AG19+AG20)*Premissas!$D$23</f>
        <v>675703.714990081</v>
      </c>
      <c r="AH22" s="22" t="n">
        <f aca="false">(AH19+AH20)*Premissas!$D$23</f>
        <v>731647.811261818</v>
      </c>
      <c r="AI22" s="22" t="n">
        <f aca="false">(AI19+AI20)*Premissas!$D$23</f>
        <v>791975.792525916</v>
      </c>
      <c r="AJ22" s="22" t="n">
        <f aca="false">(AJ19+AJ20)*Premissas!$D$23</f>
        <v>857043.487057324</v>
      </c>
      <c r="AK22" s="22" t="n">
        <f aca="false">(AK19+AK20)*Premissas!$D$23</f>
        <v>927234.854034915</v>
      </c>
      <c r="AL22" s="22" t="n">
        <f aca="false">(AL19+AL20)*Premissas!$D$23</f>
        <v>1002964.25918744</v>
      </c>
      <c r="AM22" s="22" t="n">
        <f aca="false">(AM19+AM20)*Premissas!$D$23</f>
        <v>1083931.26137166</v>
      </c>
      <c r="AN22" s="22" t="n">
        <f aca="false">(AN19+AN20)*Premissas!$D$23</f>
        <v>1163981.74662102</v>
      </c>
      <c r="AO22" s="22" t="n">
        <f aca="false">(AO19+AO20)*Premissas!$D$23</f>
        <v>1243204.97489501</v>
      </c>
      <c r="AP22" s="22" t="n">
        <f aca="false">(AP19+AP20)*Premissas!$D$23</f>
        <v>1317707.83920553</v>
      </c>
      <c r="AQ22" s="22" t="n">
        <f aca="false">(AQ19+AQ20)*Premissas!$D$23</f>
        <v>1387818.78324607</v>
      </c>
      <c r="AR22" s="22" t="n">
        <f aca="false">(AR19+AR20)*Premissas!$D$23</f>
        <v>1453840.5463402</v>
      </c>
      <c r="AS22" s="22" t="n">
        <f aca="false">(AS19+AS20)*Premissas!$D$23</f>
        <v>1516052.32261241</v>
      </c>
      <c r="AT22" s="22" t="n">
        <f aca="false">(AT19+AT20)*Premissas!$D$23</f>
        <v>1574711.7320024</v>
      </c>
      <c r="AU22" s="22" t="n">
        <f aca="false">(AU19+AU20)*Premissas!$D$23</f>
        <v>1630056.61981029</v>
      </c>
      <c r="AV22" s="22" t="n">
        <f aca="false">(AV19+AV20)*Premissas!$D$23</f>
        <v>1682306.69996795</v>
      </c>
      <c r="AW22" s="22" t="n">
        <f aca="false">(AW19+AW20)*Premissas!$D$23</f>
        <v>1731665.05587379</v>
      </c>
      <c r="AX22" s="22" t="n">
        <f aca="false">(AX19+AX20)*Premissas!$D$23</f>
        <v>1778319.51139199</v>
      </c>
      <c r="AY22" s="22" t="n">
        <f aca="false">(AY19+AY20)*Premissas!$D$23</f>
        <v>1822443.88349168</v>
      </c>
      <c r="AZ22" s="22" t="n">
        <f aca="false">(AZ19+AZ20)*Premissas!$D$23</f>
        <v>1864199.12697739</v>
      </c>
      <c r="BA22" s="22" t="n">
        <f aca="false">(BA19+BA20)*Premissas!$D$23</f>
        <v>1903734.3808294</v>
      </c>
      <c r="BB22" s="22" t="n">
        <f aca="false">(BB19+BB20)*Premissas!$D$23</f>
        <v>1941187.92482352</v>
      </c>
      <c r="BC22" s="22" t="n">
        <f aca="false">(BC19+BC20)*Premissas!$D$23</f>
        <v>1976688.05432742</v>
      </c>
      <c r="BD22" s="22" t="n">
        <f aca="false">(BD19+BD20)*Premissas!$D$23</f>
        <v>2010353.88046646</v>
      </c>
      <c r="BE22" s="22" t="n">
        <f aca="false">(BE19+BE20)*Premissas!$D$23</f>
        <v>2042296.06221183</v>
      </c>
      <c r="BF22" s="22" t="n">
        <f aca="false">(BF19+BF20)*Premissas!$D$23</f>
        <v>2072617.47636063</v>
      </c>
      <c r="BG22" s="22" t="n">
        <f aca="false">(BG19+BG20)*Premissas!$D$23</f>
        <v>2101413.83084613</v>
      </c>
      <c r="BH22" s="22" t="n">
        <f aca="false">(BH19+BH20)*Premissas!$D$23</f>
        <v>2128774.22633361</v>
      </c>
      <c r="BI22" s="22" t="n">
        <f aca="false">(BI19+BI20)*Premissas!$D$23</f>
        <v>2154781.67061667</v>
      </c>
      <c r="BJ22" s="22" t="n">
        <f aca="false">(BJ19+BJ20)*Premissas!$D$23</f>
        <v>2179513.54992813</v>
      </c>
      <c r="BK22" s="22" t="n">
        <f aca="false">(BK19+BK20)*Premissas!$D$23</f>
        <v>2203042.06091488</v>
      </c>
    </row>
    <row r="23" customFormat="false" ht="15" hidden="false" customHeight="false" outlineLevel="0" collapsed="false">
      <c r="A23" s="9" t="s">
        <v>162</v>
      </c>
      <c r="B23" s="19" t="s">
        <v>155</v>
      </c>
      <c r="C23" s="22" t="n">
        <v>0</v>
      </c>
      <c r="D23" s="22" t="n">
        <f aca="false">D13*Premissas!$D$24</f>
        <v>0</v>
      </c>
      <c r="E23" s="22" t="n">
        <f aca="false">E13*Premissas!$D$24</f>
        <v>0</v>
      </c>
      <c r="F23" s="22" t="n">
        <f aca="false">F13*Premissas!$D$24</f>
        <v>214.5</v>
      </c>
      <c r="G23" s="22" t="n">
        <f aca="false">G13*Premissas!$D$24</f>
        <v>437.58</v>
      </c>
      <c r="H23" s="22" t="n">
        <f aca="false">H13*Premissas!$D$24</f>
        <v>670.2696</v>
      </c>
      <c r="I23" s="22" t="n">
        <f aca="false">I13*Premissas!$D$24</f>
        <v>913.66704</v>
      </c>
      <c r="J23" s="22" t="n">
        <f aca="false">J13*Premissas!$D$24</f>
        <v>1168.94524032</v>
      </c>
      <c r="K23" s="22" t="n">
        <f aca="false">K13*Premissas!$D$24</f>
        <v>1437.3583031808</v>
      </c>
      <c r="L23" s="22" t="n">
        <f aca="false">L13*Premissas!$D$24</f>
        <v>1720.24851332506</v>
      </c>
      <c r="M23" s="22" t="n">
        <f aca="false">M13*Premissas!$D$24</f>
        <v>2019.05387844526</v>
      </c>
      <c r="N23" s="22" t="n">
        <f aca="false">N13*Premissas!$D$24</f>
        <v>2335.31625341291</v>
      </c>
      <c r="O23" s="22" t="n">
        <f aca="false">O13*Premissas!$D$24</f>
        <v>2670.6900957903</v>
      </c>
      <c r="P23" s="22" t="n">
        <f aca="false">P13*Premissas!$D$24</f>
        <v>3026.9519038737</v>
      </c>
      <c r="Q23" s="22" t="n">
        <f aca="false">Q13*Premissas!$D$24</f>
        <v>3406.01039258697</v>
      </c>
      <c r="R23" s="22" t="n">
        <f aca="false">R13*Premissas!$D$24</f>
        <v>3809.91746694116</v>
      </c>
      <c r="S23" s="22" t="n">
        <f aca="false">S13*Premissas!$D$24</f>
        <v>4240.8800575258</v>
      </c>
      <c r="T23" s="22" t="n">
        <f aca="false">T13*Premissas!$D$24</f>
        <v>4701.27288762803</v>
      </c>
      <c r="U23" s="22" t="n">
        <f aca="false">U13*Premissas!$D$24</f>
        <v>5193.65224711844</v>
      </c>
      <c r="V23" s="22" t="n">
        <f aca="false">V13*Premissas!$D$24</f>
        <v>5720.77085422887</v>
      </c>
      <c r="W23" s="22" t="n">
        <f aca="false">W13*Premissas!$D$24</f>
        <v>6285.5938928145</v>
      </c>
      <c r="X23" s="22" t="n">
        <f aca="false">X13*Premissas!$D$24</f>
        <v>6891.31631967709</v>
      </c>
      <c r="Y23" s="22" t="n">
        <f aca="false">Y13*Premissas!$D$24</f>
        <v>7541.38154407119</v>
      </c>
      <c r="Z23" s="22" t="n">
        <f aca="false">Z13*Premissas!$D$24</f>
        <v>8239.50158966402</v>
      </c>
      <c r="AA23" s="22" t="n">
        <f aca="false">AA13*Premissas!$D$24</f>
        <v>8989.67885802159</v>
      </c>
      <c r="AB23" s="22" t="n">
        <f aca="false">AB13*Premissas!$D$24</f>
        <v>9796.22962220038</v>
      </c>
      <c r="AC23" s="22" t="n">
        <f aca="false">AC13*Premissas!$D$24</f>
        <v>10663.809389292</v>
      </c>
      <c r="AD23" s="22" t="n">
        <f aca="false">AD13*Premissas!$D$24</f>
        <v>11597.4402818583</v>
      </c>
      <c r="AE23" s="22" t="n">
        <f aca="false">AE13*Premissas!$D$24</f>
        <v>12602.540600173</v>
      </c>
      <c r="AF23" s="22" t="n">
        <f aca="false">AF13*Premissas!$D$24</f>
        <v>13684.9567401223</v>
      </c>
      <c r="AG23" s="22" t="n">
        <f aca="false">AG13*Premissas!$D$24</f>
        <v>14850.9976555901</v>
      </c>
      <c r="AH23" s="22" t="n">
        <f aca="false">AH13*Premissas!$D$24</f>
        <v>16107.4720692449</v>
      </c>
      <c r="AI23" s="22" t="n">
        <f aca="false">AI13*Premissas!$D$24</f>
        <v>17461.7286519439</v>
      </c>
      <c r="AJ23" s="22" t="n">
        <f aca="false">AJ13*Premissas!$D$24</f>
        <v>18921.6994085724</v>
      </c>
      <c r="AK23" s="22" t="n">
        <f aca="false">AK13*Premissas!$D$24</f>
        <v>20495.9465271522</v>
      </c>
      <c r="AL23" s="22" t="n">
        <f aca="false">AL13*Premissas!$D$24</f>
        <v>22193.7129685827</v>
      </c>
      <c r="AM23" s="22" t="n">
        <f aca="false">AM13*Premissas!$D$24</f>
        <v>24024.9770965573</v>
      </c>
      <c r="AN23" s="22" t="n">
        <f aca="false">AN13*Premissas!$D$24</f>
        <v>26000.5116711504</v>
      </c>
      <c r="AO23" s="22" t="n">
        <f aca="false">AO13*Premissas!$D$24</f>
        <v>28106.4912043044</v>
      </c>
      <c r="AP23" s="22" t="n">
        <f aca="false">AP13*Premissas!$D$24</f>
        <v>30128.2315561322</v>
      </c>
      <c r="AQ23" s="22" t="n">
        <f aca="false">AQ13*Premissas!$D$24</f>
        <v>32069.1022938869</v>
      </c>
      <c r="AR23" s="22" t="n">
        <f aca="false">AR13*Premissas!$D$24</f>
        <v>33932.3382021314</v>
      </c>
      <c r="AS23" s="22" t="n">
        <f aca="false">AS13*Premissas!$D$24</f>
        <v>35721.0446740462</v>
      </c>
      <c r="AT23" s="22" t="n">
        <f aca="false">AT13*Premissas!$D$24</f>
        <v>37438.2028870843</v>
      </c>
      <c r="AU23" s="22" t="n">
        <f aca="false">AU13*Premissas!$D$24</f>
        <v>39086.6747716009</v>
      </c>
      <c r="AV23" s="22" t="n">
        <f aca="false">AV13*Premissas!$D$24</f>
        <v>40669.2077807369</v>
      </c>
      <c r="AW23" s="22" t="n">
        <f aca="false">AW13*Premissas!$D$24</f>
        <v>42188.4394695074</v>
      </c>
      <c r="AX23" s="22" t="n">
        <f aca="false">AX13*Premissas!$D$24</f>
        <v>43646.9018907271</v>
      </c>
      <c r="AY23" s="22" t="n">
        <f aca="false">AY13*Premissas!$D$24</f>
        <v>45047.025815098</v>
      </c>
      <c r="AZ23" s="22" t="n">
        <f aca="false">AZ13*Premissas!$D$24</f>
        <v>46391.1447824941</v>
      </c>
      <c r="BA23" s="22" t="n">
        <f aca="false">BA13*Premissas!$D$24</f>
        <v>47681.4989911944</v>
      </c>
      <c r="BB23" s="22" t="n">
        <f aca="false">BB13*Premissas!$D$24</f>
        <v>48920.2390315466</v>
      </c>
      <c r="BC23" s="22" t="n">
        <f aca="false">BC13*Premissas!$D$24</f>
        <v>50109.4294702847</v>
      </c>
      <c r="BD23" s="22" t="n">
        <f aca="false">BD13*Premissas!$D$24</f>
        <v>51251.0522914733</v>
      </c>
      <c r="BE23" s="22" t="n">
        <f aca="false">BE13*Premissas!$D$24</f>
        <v>52347.0101998144</v>
      </c>
      <c r="BF23" s="22" t="n">
        <f aca="false">BF13*Premissas!$D$24</f>
        <v>53399.1297918218</v>
      </c>
      <c r="BG23" s="22" t="n">
        <f aca="false">BG13*Premissas!$D$24</f>
        <v>54409.1646001489</v>
      </c>
      <c r="BH23" s="22" t="n">
        <f aca="false">BH13*Premissas!$D$24</f>
        <v>55378.798016143</v>
      </c>
      <c r="BI23" s="22" t="n">
        <f aca="false">BI13*Premissas!$D$24</f>
        <v>56309.6460954973</v>
      </c>
      <c r="BJ23" s="22" t="n">
        <f aca="false">BJ13*Premissas!$D$24</f>
        <v>57203.2602516774</v>
      </c>
      <c r="BK23" s="22" t="n">
        <f aca="false">BK13*Premissas!$D$24</f>
        <v>58061.1298416103</v>
      </c>
    </row>
    <row r="24" customFormat="false" ht="15" hidden="false" customHeight="false" outlineLevel="0" collapsed="false">
      <c r="A24" s="13" t="s">
        <v>163</v>
      </c>
      <c r="B24" s="19" t="s">
        <v>155</v>
      </c>
      <c r="C24" s="23" t="n">
        <v>0</v>
      </c>
      <c r="D24" s="23" t="n">
        <f aca="false">D17+D18+D21+D22+D23</f>
        <v>11700</v>
      </c>
      <c r="E24" s="23" t="n">
        <f aca="false">E17+E18+E21+E22+E23</f>
        <v>23283</v>
      </c>
      <c r="F24" s="23" t="n">
        <f aca="false">F17+F18+F21+F22+F23</f>
        <v>47646.66</v>
      </c>
      <c r="G24" s="23" t="n">
        <f aca="false">G17+G18+G21+G22+G23</f>
        <v>72639.2835</v>
      </c>
      <c r="H24" s="23" t="n">
        <f aca="false">H17+H18+H21+H22+H23</f>
        <v>98401.800717</v>
      </c>
      <c r="I24" s="23" t="n">
        <f aca="false">I17+I18+I21+I22+I23</f>
        <v>125079.38904303</v>
      </c>
      <c r="J24" s="23" t="n">
        <f aca="false">J17+J18+J21+J22+J23</f>
        <v>152822.400153362</v>
      </c>
      <c r="K24" s="23" t="n">
        <f aca="false">K17+K18+K21+K22+K23</f>
        <v>181787.310228005</v>
      </c>
      <c r="L24" s="23" t="n">
        <f aca="false">L17+L18+L21+L22+L23</f>
        <v>212137.699658337</v>
      </c>
      <c r="M24" s="23" t="n">
        <f aca="false">M17+M18+M21+M22+M23</f>
        <v>244045.268716326</v>
      </c>
      <c r="N24" s="23" t="n">
        <f aca="false">N17+N18+N21+N22+N23</f>
        <v>277690.895814061</v>
      </c>
      <c r="O24" s="23" t="n">
        <f aca="false">O17+O18+O21+O22+O23</f>
        <v>313265.745176651</v>
      </c>
      <c r="P24" s="23" t="n">
        <f aca="false">P17+P18+P21+P22+P23</f>
        <v>350972.430992507</v>
      </c>
      <c r="Q24" s="23" t="n">
        <f aca="false">Q17+Q18+Q21+Q22+Q23</f>
        <v>391026.245392627</v>
      </c>
      <c r="R24" s="23" t="n">
        <f aca="false">R17+R18+R21+R22+R23</f>
        <v>433656.457945956</v>
      </c>
      <c r="S24" s="23" t="n">
        <f aca="false">S17+S18+S21+S22+S23</f>
        <v>479107.69474288</v>
      </c>
      <c r="T24" s="23" t="n">
        <f aca="false">T17+T18+T21+T22+T23</f>
        <v>527641.405575255</v>
      </c>
      <c r="U24" s="23" t="n">
        <f aca="false">U17+U18+U21+U22+U23</f>
        <v>579537.428211417</v>
      </c>
      <c r="V24" s="23" t="n">
        <f aca="false">V17+V18+V21+V22+V23</f>
        <v>635095.659310921</v>
      </c>
      <c r="W24" s="23" t="n">
        <f aca="false">W17+W18+W21+W22+W23</f>
        <v>694637.842129333</v>
      </c>
      <c r="X24" s="23" t="n">
        <f aca="false">X17+X18+X21+X22+X23</f>
        <v>758509.481831508</v>
      </c>
      <c r="Y24" s="23" t="n">
        <f aca="false">Y17+Y18+Y21+Y22+Y23</f>
        <v>827081.899966305</v>
      </c>
      <c r="Z24" s="23" t="n">
        <f aca="false">Z17+Z18+Z21+Z22+Z23</f>
        <v>900754.440460602</v>
      </c>
      <c r="AA24" s="23" t="n">
        <f aca="false">AA17+AA18+AA21+AA22+AA23</f>
        <v>979956.840370506</v>
      </c>
      <c r="AB24" s="23" t="n">
        <f aca="false">AB17+AB18+AB21+AB22+AB23</f>
        <v>1065151.77958779</v>
      </c>
      <c r="AC24" s="23" t="n">
        <f aca="false">AC17+AC18+AC21+AC22+AC23</f>
        <v>1156837.62474532</v>
      </c>
      <c r="AD24" s="23" t="n">
        <f aca="false">AD17+AD18+AD21+AD22+AD23</f>
        <v>1255551.3837028</v>
      </c>
      <c r="AE24" s="23" t="n">
        <f aca="false">AE17+AE18+AE21+AE22+AE23</f>
        <v>1361871.88822981</v>
      </c>
      <c r="AF24" s="23" t="n">
        <f aca="false">AF17+AF18+AF21+AF22+AF23</f>
        <v>1476423.22384473</v>
      </c>
      <c r="AG24" s="23" t="n">
        <f aca="false">AG17+AG18+AG21+AG22+AG23</f>
        <v>1599878.42722243</v>
      </c>
      <c r="AH24" s="23" t="n">
        <f aca="false">AH17+AH18+AH21+AH22+AH23</f>
        <v>1732963.47316078</v>
      </c>
      <c r="AI24" s="23" t="n">
        <f aca="false">AI17+AI18+AI21+AI22+AI23</f>
        <v>1876461.57480318</v>
      </c>
      <c r="AJ24" s="23" t="n">
        <f aca="false">AJ17+AJ18+AJ21+AJ22+AJ23</f>
        <v>2031217.82266384</v>
      </c>
      <c r="AK24" s="23" t="n">
        <f aca="false">AK17+AK18+AK21+AK22+AK23</f>
        <v>2198144.1900033</v>
      </c>
      <c r="AL24" s="23" t="n">
        <f aca="false">AL17+AL18+AL21+AL22+AL23</f>
        <v>2378224.93426661</v>
      </c>
      <c r="AM24" s="23" t="n">
        <f aca="false">AM17+AM18+AM21+AM22+AM23</f>
        <v>2571133.89839486</v>
      </c>
      <c r="AN24" s="23" t="n">
        <f aca="false">AN17+AN18+AN21+AN22+AN23</f>
        <v>2765692.27309632</v>
      </c>
      <c r="AO24" s="23" t="n">
        <f aca="false">AO17+AO18+AO21+AO22+AO23</f>
        <v>2961744.65014456</v>
      </c>
      <c r="AP24" s="23" t="n">
        <f aca="false">AP17+AP18+AP21+AP22+AP23</f>
        <v>3147073.69599339</v>
      </c>
      <c r="AQ24" s="23" t="n">
        <f aca="false">AQ17+AQ18+AQ21+AQ22+AQ23</f>
        <v>3322367.65514135</v>
      </c>
      <c r="AR24" s="23" t="n">
        <f aca="false">AR17+AR18+AR21+AR22+AR23</f>
        <v>3488263.9042945</v>
      </c>
      <c r="AS24" s="23" t="n">
        <f aca="false">AS17+AS18+AS21+AS22+AS23</f>
        <v>3645353.08749923</v>
      </c>
      <c r="AT24" s="23" t="n">
        <f aca="false">AT17+AT18+AT21+AT22+AT23</f>
        <v>3794182.89683189</v>
      </c>
      <c r="AU24" s="23" t="n">
        <f aca="false">AU17+AU18+AU21+AU22+AU23</f>
        <v>3935261.5298363</v>
      </c>
      <c r="AV24" s="23" t="n">
        <f aca="false">AV17+AV18+AV21+AV22+AV23</f>
        <v>4069060.85212154</v>
      </c>
      <c r="AW24" s="23" t="n">
        <f aca="false">AW17+AW18+AW21+AW22+AW23</f>
        <v>4196019.2910023</v>
      </c>
      <c r="AX24" s="23" t="n">
        <f aca="false">AX17+AX18+AX21+AX22+AX23</f>
        <v>4316544.48376091</v>
      </c>
      <c r="AY24" s="23" t="n">
        <f aca="false">AY17+AY18+AY21+AY22+AY23</f>
        <v>4431015.7020133</v>
      </c>
      <c r="AZ24" s="23" t="n">
        <f aca="false">AZ17+AZ18+AZ21+AZ22+AZ23</f>
        <v>4539786.07175134</v>
      </c>
      <c r="BA24" s="23" t="n">
        <f aca="false">BA17+BA18+BA21+BA22+BA23</f>
        <v>4643184.60689619</v>
      </c>
      <c r="BB24" s="23" t="n">
        <f aca="false">BB17+BB18+BB21+BB22+BB23</f>
        <v>4741518.0726139</v>
      </c>
      <c r="BC24" s="23" t="n">
        <f aca="false">BC17+BC18+BC21+BC22+BC23</f>
        <v>4835072.69320348</v>
      </c>
      <c r="BD24" s="23" t="n">
        <f aca="false">BD17+BD18+BD21+BD22+BD23</f>
        <v>4924115.71805501</v>
      </c>
      <c r="BE24" s="23" t="n">
        <f aca="false">BE17+BE18+BE21+BE22+BE23</f>
        <v>5008896.8579803</v>
      </c>
      <c r="BF24" s="23" t="n">
        <f aca="false">BF17+BF18+BF21+BF22+BF23</f>
        <v>5089649.60313031</v>
      </c>
      <c r="BG24" s="23" t="n">
        <f aca="false">BG17+BG18+BG21+BG22+BG23</f>
        <v>5166592.43272209</v>
      </c>
      <c r="BH24" s="23" t="n">
        <f aca="false">BH17+BH18+BH21+BH22+BH23</f>
        <v>5239929.92589567</v>
      </c>
      <c r="BI24" s="23" t="n">
        <f aca="false">BI17+BI18+BI21+BI22+BI23</f>
        <v>5309853.78219888</v>
      </c>
      <c r="BJ24" s="23" t="n">
        <f aca="false">BJ17+BJ18+BJ21+BJ22+BJ23</f>
        <v>5376543.75944945</v>
      </c>
      <c r="BK24" s="23" t="n">
        <f aca="false">BK17+BK18+BK21+BK22+BK23</f>
        <v>5440168.53604153</v>
      </c>
    </row>
    <row r="26" customFormat="false" ht="15" hidden="false" customHeight="false" outlineLevel="0" collapsed="false">
      <c r="A26" s="12" t="s">
        <v>164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</row>
    <row r="27" customFormat="false" ht="15" hidden="false" customHeight="false" outlineLevel="0" collapsed="false">
      <c r="A27" s="9" t="s">
        <v>165</v>
      </c>
      <c r="B27" s="19" t="s">
        <v>155</v>
      </c>
      <c r="C27" s="22" t="n">
        <v>0</v>
      </c>
      <c r="D27" s="22" t="n">
        <f aca="false">D14*Premissas!$D$28</f>
        <v>4050</v>
      </c>
      <c r="E27" s="22" t="n">
        <f aca="false">E14*Premissas!$D$28</f>
        <v>8059.5</v>
      </c>
      <c r="F27" s="22" t="n">
        <f aca="false">F14*Premissas!$D$28</f>
        <v>12058.065</v>
      </c>
      <c r="G27" s="22" t="n">
        <f aca="false">G14*Premissas!$D$28</f>
        <v>16096.94775</v>
      </c>
      <c r="H27" s="22" t="n">
        <f aca="false">H14*Premissas!$D$28</f>
        <v>20203.6437405</v>
      </c>
      <c r="I27" s="22" t="n">
        <f aca="false">I14*Premissas!$D$28</f>
        <v>24405.699434895</v>
      </c>
      <c r="J27" s="22" t="n">
        <f aca="false">J14*Premissas!$D$28</f>
        <v>28730.9083016777</v>
      </c>
      <c r="K27" s="22" t="n">
        <f aca="false">K14*Premissas!$D$28</f>
        <v>33207.5053103477</v>
      </c>
      <c r="L27" s="22" t="n">
        <f aca="false">L14*Premissas!$D$28</f>
        <v>37864.3613155422</v>
      </c>
      <c r="M27" s="22" t="n">
        <f aca="false">M14*Premissas!$D$28</f>
        <v>42731.1787286847</v>
      </c>
      <c r="N27" s="22" t="n">
        <f aca="false">N14*Premissas!$D$28</f>
        <v>47838.6898617426</v>
      </c>
      <c r="O27" s="22" t="n">
        <f aca="false">O14*Premissas!$D$28</f>
        <v>53218.8593231883</v>
      </c>
      <c r="P27" s="22" t="n">
        <f aca="false">P14*Premissas!$D$28</f>
        <v>58905.091851781</v>
      </c>
      <c r="Q27" s="22" t="n">
        <f aca="false">Q14*Premissas!$D$28</f>
        <v>64932.4469891815</v>
      </c>
      <c r="R27" s="22" t="n">
        <f aca="false">R14*Premissas!$D$28</f>
        <v>71337.8620176289</v>
      </c>
      <c r="S27" s="22" t="n">
        <f aca="false">S14*Premissas!$D$28</f>
        <v>78160.3846239584</v>
      </c>
      <c r="T27" s="22" t="n">
        <f aca="false">T14*Premissas!$D$28</f>
        <v>85441.4167962023</v>
      </c>
      <c r="U27" s="22" t="n">
        <f aca="false">U14*Premissas!$D$28</f>
        <v>93224.971514049</v>
      </c>
      <c r="V27" s="22" t="n">
        <f aca="false">V14*Premissas!$D$28</f>
        <v>101557.943859761</v>
      </c>
      <c r="W27" s="22" t="n">
        <f aca="false">W14*Premissas!$D$28</f>
        <v>110490.398252064</v>
      </c>
      <c r="X27" s="22" t="n">
        <f aca="false">X14*Premissas!$D$28</f>
        <v>120075.873592376</v>
      </c>
      <c r="Y27" s="22" t="n">
        <f aca="false">Y14*Premissas!$D$28</f>
        <v>130371.708210995</v>
      </c>
      <c r="Z27" s="22" t="n">
        <f aca="false">Z14*Premissas!$D$28</f>
        <v>141439.386611016</v>
      </c>
      <c r="AA27" s="22" t="n">
        <f aca="false">AA14*Premissas!$D$28</f>
        <v>153344.910130371</v>
      </c>
      <c r="AB27" s="22" t="n">
        <f aca="false">AB14*Premissas!$D$28</f>
        <v>166159.193778178</v>
      </c>
      <c r="AC27" s="22" t="n">
        <f aca="false">AC14*Premissas!$D$28</f>
        <v>179958.491651289</v>
      </c>
      <c r="AD27" s="22" t="n">
        <f aca="false">AD14*Premissas!$D$28</f>
        <v>194824.853501363</v>
      </c>
      <c r="AE27" s="22" t="n">
        <f aca="false">AE14*Premissas!$D$28</f>
        <v>210846.615202896</v>
      </c>
      <c r="AF27" s="22" t="n">
        <f aca="false">AF14*Premissas!$D$28</f>
        <v>228118.926069492</v>
      </c>
      <c r="AG27" s="22" t="n">
        <f aca="false">AG14*Premissas!$D$28</f>
        <v>246744.316180276</v>
      </c>
      <c r="AH27" s="22" t="n">
        <f aca="false">AH14*Premissas!$D$28</f>
        <v>266833.30711211</v>
      </c>
      <c r="AI27" s="22" t="n">
        <f aca="false">AI14*Premissas!$D$28</f>
        <v>288505.069727403</v>
      </c>
      <c r="AJ27" s="22" t="n">
        <f aca="false">AJ14*Premissas!$D$28</f>
        <v>311888.132943378</v>
      </c>
      <c r="AK27" s="22" t="n">
        <f aca="false">AK14*Premissas!$D$28</f>
        <v>337121.147708233</v>
      </c>
      <c r="AL27" s="22" t="n">
        <f aca="false">AL14*Premissas!$D$28</f>
        <v>364353.710734476</v>
      </c>
      <c r="AM27" s="22" t="n">
        <f aca="false">AM14*Premissas!$D$28</f>
        <v>393266.608499726</v>
      </c>
      <c r="AN27" s="22" t="n">
        <f aca="false">AN14*Premissas!$D$28</f>
        <v>419767.51520247</v>
      </c>
      <c r="AO27" s="22" t="n">
        <f aca="false">AO14*Premissas!$D$28</f>
        <v>444088.491969329</v>
      </c>
      <c r="AP27" s="22" t="n">
        <f aca="false">AP14*Premissas!$D$28</f>
        <v>466439.278701767</v>
      </c>
      <c r="AQ27" s="22" t="n">
        <f aca="false">AQ14*Premissas!$D$28</f>
        <v>486988.444587898</v>
      </c>
      <c r="AR27" s="22" t="n">
        <f aca="false">AR14*Premissas!$D$28</f>
        <v>505889.737505507</v>
      </c>
      <c r="AS27" s="22" t="n">
        <f aca="false">AS14*Premissas!$D$28</f>
        <v>523283.403943309</v>
      </c>
      <c r="AT27" s="22" t="n">
        <f aca="false">AT14*Premissas!$D$28</f>
        <v>539297.390689178</v>
      </c>
      <c r="AU27" s="22" t="n">
        <f aca="false">AU14*Premissas!$D$28</f>
        <v>554048.438903888</v>
      </c>
      <c r="AV27" s="22" t="n">
        <f aca="false">AV14*Premissas!$D$28</f>
        <v>567643.080244204</v>
      </c>
      <c r="AW27" s="22" t="n">
        <f aca="false">AW14*Premissas!$D$28</f>
        <v>580178.543830225</v>
      </c>
      <c r="AX27" s="22" t="n">
        <f aca="false">AX14*Premissas!$D$28</f>
        <v>591743.582061185</v>
      </c>
      <c r="AY27" s="22" t="n">
        <f aca="false">AY14*Premissas!$D$28</f>
        <v>602419.22256433</v>
      </c>
      <c r="AZ27" s="22" t="n">
        <f aca="false">AZ14*Premissas!$D$28</f>
        <v>612279.452906647</v>
      </c>
      <c r="BA27" s="22" t="n">
        <f aca="false">BA14*Premissas!$D$28</f>
        <v>621391.844103231</v>
      </c>
      <c r="BB27" s="22" t="n">
        <f aca="false">BB14*Premissas!$D$28</f>
        <v>629818.118413795</v>
      </c>
      <c r="BC27" s="22" t="n">
        <f aca="false">BC14*Premissas!$D$28</f>
        <v>637614.666425214</v>
      </c>
      <c r="BD27" s="22" t="n">
        <f aca="false">BD14*Premissas!$D$28</f>
        <v>644833.017968859</v>
      </c>
      <c r="BE27" s="22" t="n">
        <f aca="false">BE14*Premissas!$D$28</f>
        <v>651520.271012699</v>
      </c>
      <c r="BF27" s="22" t="n">
        <f aca="false">BF14*Premissas!$D$28</f>
        <v>657719.482296152</v>
      </c>
      <c r="BG27" s="22" t="n">
        <f aca="false">BG14*Premissas!$D$28</f>
        <v>663470.023137111</v>
      </c>
      <c r="BH27" s="22" t="n">
        <f aca="false">BH14*Premissas!$D$28</f>
        <v>668807.903532479</v>
      </c>
      <c r="BI27" s="22" t="n">
        <f aca="false">BI14*Premissas!$D$28</f>
        <v>673766.067393155</v>
      </c>
      <c r="BJ27" s="22" t="n">
        <f aca="false">BJ14*Premissas!$D$28</f>
        <v>678374.661499227</v>
      </c>
      <c r="BK27" s="22" t="n">
        <f aca="false">BK14*Premissas!$D$28</f>
        <v>682661.280528894</v>
      </c>
    </row>
    <row r="28" customFormat="false" ht="15" hidden="false" customHeight="false" outlineLevel="0" collapsed="false">
      <c r="A28" s="9" t="s">
        <v>166</v>
      </c>
      <c r="B28" s="19" t="s">
        <v>155</v>
      </c>
      <c r="C28" s="22" t="n">
        <v>0</v>
      </c>
      <c r="D28" s="22" t="n">
        <f aca="false">ROUNDUP(D13/Premissas!$D$29,0)*Premissas!$D$30</f>
        <v>0</v>
      </c>
      <c r="E28" s="22" t="n">
        <f aca="false">ROUNDUP(E13/Premissas!$D$29,0)*Premissas!$D$30</f>
        <v>0</v>
      </c>
      <c r="F28" s="22" t="n">
        <f aca="false">ROUNDUP(F13/Premissas!$D$29,0)*Premissas!$D$30</f>
        <v>9000</v>
      </c>
      <c r="G28" s="22" t="n">
        <f aca="false">ROUNDUP(G13/Premissas!$D$29,0)*Premissas!$D$30</f>
        <v>9000</v>
      </c>
      <c r="H28" s="22" t="n">
        <f aca="false">ROUNDUP(H13/Premissas!$D$29,0)*Premissas!$D$30</f>
        <v>9000</v>
      </c>
      <c r="I28" s="22" t="n">
        <f aca="false">ROUNDUP(I13/Premissas!$D$29,0)*Premissas!$D$30</f>
        <v>9000</v>
      </c>
      <c r="J28" s="22" t="n">
        <f aca="false">ROUNDUP(J13/Premissas!$D$29,0)*Premissas!$D$30</f>
        <v>9000</v>
      </c>
      <c r="K28" s="22" t="n">
        <f aca="false">ROUNDUP(K13/Premissas!$D$29,0)*Premissas!$D$30</f>
        <v>9000</v>
      </c>
      <c r="L28" s="22" t="n">
        <f aca="false">ROUNDUP(L13/Premissas!$D$29,0)*Premissas!$D$30</f>
        <v>9000</v>
      </c>
      <c r="M28" s="22" t="n">
        <f aca="false">ROUNDUP(M13/Premissas!$D$29,0)*Premissas!$D$30</f>
        <v>9000</v>
      </c>
      <c r="N28" s="22" t="n">
        <f aca="false">ROUNDUP(N13/Premissas!$D$29,0)*Premissas!$D$30</f>
        <v>9000</v>
      </c>
      <c r="O28" s="22" t="n">
        <f aca="false">ROUNDUP(O13/Premissas!$D$29,0)*Premissas!$D$30</f>
        <v>9000</v>
      </c>
      <c r="P28" s="22" t="n">
        <f aca="false">ROUNDUP(P13/Premissas!$D$29,0)*Premissas!$D$30</f>
        <v>9000</v>
      </c>
      <c r="Q28" s="22" t="n">
        <f aca="false">ROUNDUP(Q13/Premissas!$D$29,0)*Premissas!$D$30</f>
        <v>9000</v>
      </c>
      <c r="R28" s="22" t="n">
        <f aca="false">ROUNDUP(R13/Premissas!$D$29,0)*Premissas!$D$30</f>
        <v>9000</v>
      </c>
      <c r="S28" s="22" t="n">
        <f aca="false">ROUNDUP(S13/Premissas!$D$29,0)*Premissas!$D$30</f>
        <v>18000</v>
      </c>
      <c r="T28" s="22" t="n">
        <f aca="false">ROUNDUP(T13/Premissas!$D$29,0)*Premissas!$D$30</f>
        <v>18000</v>
      </c>
      <c r="U28" s="22" t="n">
        <f aca="false">ROUNDUP(U13/Premissas!$D$29,0)*Premissas!$D$30</f>
        <v>18000</v>
      </c>
      <c r="V28" s="22" t="n">
        <f aca="false">ROUNDUP(V13/Premissas!$D$29,0)*Premissas!$D$30</f>
        <v>18000</v>
      </c>
      <c r="W28" s="22" t="n">
        <f aca="false">ROUNDUP(W13/Premissas!$D$29,0)*Premissas!$D$30</f>
        <v>18000</v>
      </c>
      <c r="X28" s="22" t="n">
        <f aca="false">ROUNDUP(X13/Premissas!$D$29,0)*Premissas!$D$30</f>
        <v>18000</v>
      </c>
      <c r="Y28" s="22" t="n">
        <f aca="false">ROUNDUP(Y13/Premissas!$D$29,0)*Premissas!$D$30</f>
        <v>18000</v>
      </c>
      <c r="Z28" s="22" t="n">
        <f aca="false">ROUNDUP(Z13/Premissas!$D$29,0)*Premissas!$D$30</f>
        <v>27000</v>
      </c>
      <c r="AA28" s="22" t="n">
        <f aca="false">ROUNDUP(AA13/Premissas!$D$29,0)*Premissas!$D$30</f>
        <v>27000</v>
      </c>
      <c r="AB28" s="22" t="n">
        <f aca="false">ROUNDUP(AB13/Premissas!$D$29,0)*Premissas!$D$30</f>
        <v>27000</v>
      </c>
      <c r="AC28" s="22" t="n">
        <f aca="false">ROUNDUP(AC13/Premissas!$D$29,0)*Premissas!$D$30</f>
        <v>27000</v>
      </c>
      <c r="AD28" s="22" t="n">
        <f aca="false">ROUNDUP(AD13/Premissas!$D$29,0)*Premissas!$D$30</f>
        <v>27000</v>
      </c>
      <c r="AE28" s="22" t="n">
        <f aca="false">ROUNDUP(AE13/Premissas!$D$29,0)*Premissas!$D$30</f>
        <v>36000</v>
      </c>
      <c r="AF28" s="22" t="n">
        <f aca="false">ROUNDUP(AF13/Premissas!$D$29,0)*Premissas!$D$30</f>
        <v>36000</v>
      </c>
      <c r="AG28" s="22" t="n">
        <f aca="false">ROUNDUP(AG13/Premissas!$D$29,0)*Premissas!$D$30</f>
        <v>36000</v>
      </c>
      <c r="AH28" s="22" t="n">
        <f aca="false">ROUNDUP(AH13/Premissas!$D$29,0)*Premissas!$D$30</f>
        <v>45000</v>
      </c>
      <c r="AI28" s="22" t="n">
        <f aca="false">ROUNDUP(AI13/Premissas!$D$29,0)*Premissas!$D$30</f>
        <v>45000</v>
      </c>
      <c r="AJ28" s="22" t="n">
        <f aca="false">ROUNDUP(AJ13/Premissas!$D$29,0)*Premissas!$D$30</f>
        <v>45000</v>
      </c>
      <c r="AK28" s="22" t="n">
        <f aca="false">ROUNDUP(AK13/Premissas!$D$29,0)*Premissas!$D$30</f>
        <v>54000</v>
      </c>
      <c r="AL28" s="22" t="n">
        <f aca="false">ROUNDUP(AL13/Premissas!$D$29,0)*Premissas!$D$30</f>
        <v>54000</v>
      </c>
      <c r="AM28" s="22" t="n">
        <f aca="false">ROUNDUP(AM13/Premissas!$D$29,0)*Premissas!$D$30</f>
        <v>63000</v>
      </c>
      <c r="AN28" s="22" t="n">
        <f aca="false">ROUNDUP(AN13/Premissas!$D$29,0)*Premissas!$D$30</f>
        <v>63000</v>
      </c>
      <c r="AO28" s="22" t="n">
        <f aca="false">ROUNDUP(AO13/Premissas!$D$29,0)*Premissas!$D$30</f>
        <v>72000</v>
      </c>
      <c r="AP28" s="22" t="n">
        <f aca="false">ROUNDUP(AP13/Premissas!$D$29,0)*Premissas!$D$30</f>
        <v>72000</v>
      </c>
      <c r="AQ28" s="22" t="n">
        <f aca="false">ROUNDUP(AQ13/Premissas!$D$29,0)*Premissas!$D$30</f>
        <v>81000</v>
      </c>
      <c r="AR28" s="22" t="n">
        <f aca="false">ROUNDUP(AR13/Premissas!$D$29,0)*Premissas!$D$30</f>
        <v>81000</v>
      </c>
      <c r="AS28" s="22" t="n">
        <f aca="false">ROUNDUP(AS13/Premissas!$D$29,0)*Premissas!$D$30</f>
        <v>90000</v>
      </c>
      <c r="AT28" s="22" t="n">
        <f aca="false">ROUNDUP(AT13/Premissas!$D$29,0)*Premissas!$D$30</f>
        <v>90000</v>
      </c>
      <c r="AU28" s="22" t="n">
        <f aca="false">ROUNDUP(AU13/Premissas!$D$29,0)*Premissas!$D$30</f>
        <v>99000</v>
      </c>
      <c r="AV28" s="22" t="n">
        <f aca="false">ROUNDUP(AV13/Premissas!$D$29,0)*Premissas!$D$30</f>
        <v>99000</v>
      </c>
      <c r="AW28" s="22" t="n">
        <f aca="false">ROUNDUP(AW13/Premissas!$D$29,0)*Premissas!$D$30</f>
        <v>99000</v>
      </c>
      <c r="AX28" s="22" t="n">
        <f aca="false">ROUNDUP(AX13/Premissas!$D$29,0)*Premissas!$D$30</f>
        <v>108000</v>
      </c>
      <c r="AY28" s="22" t="n">
        <f aca="false">ROUNDUP(AY13/Premissas!$D$29,0)*Premissas!$D$30</f>
        <v>108000</v>
      </c>
      <c r="AZ28" s="22" t="n">
        <f aca="false">ROUNDUP(AZ13/Premissas!$D$29,0)*Premissas!$D$30</f>
        <v>108000</v>
      </c>
      <c r="BA28" s="22" t="n">
        <f aca="false">ROUNDUP(BA13/Premissas!$D$29,0)*Premissas!$D$30</f>
        <v>117000</v>
      </c>
      <c r="BB28" s="22" t="n">
        <f aca="false">ROUNDUP(BB13/Premissas!$D$29,0)*Premissas!$D$30</f>
        <v>117000</v>
      </c>
      <c r="BC28" s="22" t="n">
        <f aca="false">ROUNDUP(BC13/Premissas!$D$29,0)*Premissas!$D$30</f>
        <v>117000</v>
      </c>
      <c r="BD28" s="22" t="n">
        <f aca="false">ROUNDUP(BD13/Premissas!$D$29,0)*Premissas!$D$30</f>
        <v>126000</v>
      </c>
      <c r="BE28" s="22" t="n">
        <f aca="false">ROUNDUP(BE13/Premissas!$D$29,0)*Premissas!$D$30</f>
        <v>126000</v>
      </c>
      <c r="BF28" s="22" t="n">
        <f aca="false">ROUNDUP(BF13/Premissas!$D$29,0)*Premissas!$D$30</f>
        <v>126000</v>
      </c>
      <c r="BG28" s="22" t="n">
        <f aca="false">ROUNDUP(BG13/Premissas!$D$29,0)*Premissas!$D$30</f>
        <v>126000</v>
      </c>
      <c r="BH28" s="22" t="n">
        <f aca="false">ROUNDUP(BH13/Premissas!$D$29,0)*Premissas!$D$30</f>
        <v>135000</v>
      </c>
      <c r="BI28" s="22" t="n">
        <f aca="false">ROUNDUP(BI13/Premissas!$D$29,0)*Premissas!$D$30</f>
        <v>135000</v>
      </c>
      <c r="BJ28" s="22" t="n">
        <f aca="false">ROUNDUP(BJ13/Premissas!$D$29,0)*Premissas!$D$30</f>
        <v>135000</v>
      </c>
      <c r="BK28" s="22" t="n">
        <f aca="false">ROUNDUP(BK13/Premissas!$D$29,0)*Premissas!$D$30</f>
        <v>135000</v>
      </c>
    </row>
    <row r="29" customFormat="false" ht="15" hidden="false" customHeight="false" outlineLevel="0" collapsed="false">
      <c r="A29" s="9" t="s">
        <v>167</v>
      </c>
      <c r="B29" s="19" t="s">
        <v>155</v>
      </c>
      <c r="C29" s="22" t="n">
        <v>0</v>
      </c>
      <c r="D29" s="22" t="n">
        <f aca="false">D6*Premissas!$D$27</f>
        <v>39000</v>
      </c>
      <c r="E29" s="22" t="n">
        <f aca="false">E6*Premissas!$D$27</f>
        <v>42120</v>
      </c>
      <c r="F29" s="22" t="n">
        <f aca="false">F6*Premissas!$D$27</f>
        <v>45489.6</v>
      </c>
      <c r="G29" s="22" t="n">
        <f aca="false">G6*Premissas!$D$27</f>
        <v>49128.768</v>
      </c>
      <c r="H29" s="22" t="n">
        <f aca="false">H6*Premissas!$D$27</f>
        <v>53059.06944</v>
      </c>
      <c r="I29" s="22" t="n">
        <f aca="false">I6*Premissas!$D$27</f>
        <v>57303.7949952</v>
      </c>
      <c r="J29" s="22" t="n">
        <f aca="false">J6*Premissas!$D$27</f>
        <v>61888.098594816</v>
      </c>
      <c r="K29" s="22" t="n">
        <f aca="false">K6*Premissas!$D$27</f>
        <v>66839.1464824013</v>
      </c>
      <c r="L29" s="22" t="n">
        <f aca="false">L6*Premissas!$D$27</f>
        <v>72186.2782009934</v>
      </c>
      <c r="M29" s="22" t="n">
        <f aca="false">M6*Premissas!$D$27</f>
        <v>77961.1804570729</v>
      </c>
      <c r="N29" s="22" t="n">
        <f aca="false">N6*Premissas!$D$27</f>
        <v>84198.0748936387</v>
      </c>
      <c r="O29" s="22" t="n">
        <f aca="false">O6*Premissas!$D$27</f>
        <v>90933.9208851298</v>
      </c>
      <c r="P29" s="22" t="n">
        <f aca="false">P6*Premissas!$D$27</f>
        <v>98208.6345559402</v>
      </c>
      <c r="Q29" s="22" t="n">
        <f aca="false">Q6*Premissas!$D$27</f>
        <v>106065.325320415</v>
      </c>
      <c r="R29" s="22" t="n">
        <f aca="false">R6*Premissas!$D$27</f>
        <v>114550.551346049</v>
      </c>
      <c r="S29" s="22" t="n">
        <f aca="false">S6*Premissas!$D$27</f>
        <v>123714.595453733</v>
      </c>
      <c r="T29" s="22" t="n">
        <f aca="false">T6*Premissas!$D$27</f>
        <v>133611.763090031</v>
      </c>
      <c r="U29" s="22" t="n">
        <f aca="false">U6*Premissas!$D$27</f>
        <v>144300.704137234</v>
      </c>
      <c r="V29" s="22" t="n">
        <f aca="false">V6*Premissas!$D$27</f>
        <v>155844.760468212</v>
      </c>
      <c r="W29" s="22" t="n">
        <f aca="false">W6*Premissas!$D$27</f>
        <v>168312.341305669</v>
      </c>
      <c r="X29" s="22" t="n">
        <f aca="false">X6*Premissas!$D$27</f>
        <v>181777.328610123</v>
      </c>
      <c r="Y29" s="22" t="n">
        <f aca="false">Y6*Premissas!$D$27</f>
        <v>196319.514898933</v>
      </c>
      <c r="Z29" s="22" t="n">
        <f aca="false">Z6*Premissas!$D$27</f>
        <v>212025.076090847</v>
      </c>
      <c r="AA29" s="22" t="n">
        <f aca="false">AA6*Premissas!$D$27</f>
        <v>228987.082178115</v>
      </c>
      <c r="AB29" s="22" t="n">
        <f aca="false">AB6*Premissas!$D$27</f>
        <v>247306.048752365</v>
      </c>
      <c r="AC29" s="22" t="n">
        <f aca="false">AC6*Premissas!$D$27</f>
        <v>267090.532652554</v>
      </c>
      <c r="AD29" s="22" t="n">
        <f aca="false">AD6*Premissas!$D$27</f>
        <v>288457.775264758</v>
      </c>
      <c r="AE29" s="22" t="n">
        <f aca="false">AE6*Premissas!$D$27</f>
        <v>311534.397285939</v>
      </c>
      <c r="AF29" s="22" t="n">
        <f aca="false">AF6*Premissas!$D$27</f>
        <v>336457.149068814</v>
      </c>
      <c r="AG29" s="22" t="n">
        <f aca="false">AG6*Premissas!$D$27</f>
        <v>363373.720994319</v>
      </c>
      <c r="AH29" s="22" t="n">
        <f aca="false">AH6*Premissas!$D$27</f>
        <v>392443.618673865</v>
      </c>
      <c r="AI29" s="22" t="n">
        <f aca="false">AI6*Premissas!$D$27</f>
        <v>423839.108167774</v>
      </c>
      <c r="AJ29" s="22" t="n">
        <f aca="false">AJ6*Premissas!$D$27</f>
        <v>457746.236821196</v>
      </c>
      <c r="AK29" s="22" t="n">
        <f aca="false">AK6*Premissas!$D$27</f>
        <v>494365.935766891</v>
      </c>
      <c r="AL29" s="22" t="n">
        <f aca="false">AL6*Premissas!$D$27</f>
        <v>533915.210628243</v>
      </c>
      <c r="AM29" s="22" t="n">
        <f aca="false">AM6*Premissas!$D$27</f>
        <v>572000</v>
      </c>
      <c r="AN29" s="22" t="n">
        <f aca="false">AN6*Premissas!$D$27</f>
        <v>572000</v>
      </c>
      <c r="AO29" s="22" t="n">
        <f aca="false">AO6*Premissas!$D$27</f>
        <v>572000</v>
      </c>
      <c r="AP29" s="22" t="n">
        <f aca="false">AP6*Premissas!$D$27</f>
        <v>572000</v>
      </c>
      <c r="AQ29" s="22" t="n">
        <f aca="false">AQ6*Premissas!$D$27</f>
        <v>572000</v>
      </c>
      <c r="AR29" s="22" t="n">
        <f aca="false">AR6*Premissas!$D$27</f>
        <v>572000</v>
      </c>
      <c r="AS29" s="22" t="n">
        <f aca="false">AS6*Premissas!$D$27</f>
        <v>572000</v>
      </c>
      <c r="AT29" s="22" t="n">
        <f aca="false">AT6*Premissas!$D$27</f>
        <v>572000</v>
      </c>
      <c r="AU29" s="22" t="n">
        <f aca="false">AU6*Premissas!$D$27</f>
        <v>572000</v>
      </c>
      <c r="AV29" s="22" t="n">
        <f aca="false">AV6*Premissas!$D$27</f>
        <v>572000</v>
      </c>
      <c r="AW29" s="22" t="n">
        <f aca="false">AW6*Premissas!$D$27</f>
        <v>572000</v>
      </c>
      <c r="AX29" s="22" t="n">
        <f aca="false">AX6*Premissas!$D$27</f>
        <v>572000</v>
      </c>
      <c r="AY29" s="22" t="n">
        <f aca="false">AY6*Premissas!$D$27</f>
        <v>572000</v>
      </c>
      <c r="AZ29" s="22" t="n">
        <f aca="false">AZ6*Premissas!$D$27</f>
        <v>572000</v>
      </c>
      <c r="BA29" s="22" t="n">
        <f aca="false">BA6*Premissas!$D$27</f>
        <v>572000</v>
      </c>
      <c r="BB29" s="22" t="n">
        <f aca="false">BB6*Premissas!$D$27</f>
        <v>572000</v>
      </c>
      <c r="BC29" s="22" t="n">
        <f aca="false">BC6*Premissas!$D$27</f>
        <v>572000</v>
      </c>
      <c r="BD29" s="22" t="n">
        <f aca="false">BD6*Premissas!$D$27</f>
        <v>572000</v>
      </c>
      <c r="BE29" s="22" t="n">
        <f aca="false">BE6*Premissas!$D$27</f>
        <v>572000</v>
      </c>
      <c r="BF29" s="22" t="n">
        <f aca="false">BF6*Premissas!$D$27</f>
        <v>572000</v>
      </c>
      <c r="BG29" s="22" t="n">
        <f aca="false">BG6*Premissas!$D$27</f>
        <v>572000</v>
      </c>
      <c r="BH29" s="22" t="n">
        <f aca="false">BH6*Premissas!$D$27</f>
        <v>572000</v>
      </c>
      <c r="BI29" s="22" t="n">
        <f aca="false">BI6*Premissas!$D$27</f>
        <v>572000</v>
      </c>
      <c r="BJ29" s="22" t="n">
        <f aca="false">BJ6*Premissas!$D$27</f>
        <v>572000</v>
      </c>
      <c r="BK29" s="22" t="n">
        <f aca="false">BK6*Premissas!$D$27</f>
        <v>572000</v>
      </c>
    </row>
    <row r="30" customFormat="false" ht="15" hidden="false" customHeight="false" outlineLevel="0" collapsed="false">
      <c r="A30" s="9" t="s">
        <v>168</v>
      </c>
      <c r="B30" s="19" t="s">
        <v>155</v>
      </c>
      <c r="C30" s="22" t="n">
        <v>0</v>
      </c>
      <c r="D30" s="22" t="n">
        <f aca="false">Premissas!$D$31</f>
        <v>6000</v>
      </c>
      <c r="E30" s="22" t="n">
        <f aca="false">Premissas!$D$31</f>
        <v>6000</v>
      </c>
      <c r="F30" s="22" t="n">
        <f aca="false">Premissas!$D$31</f>
        <v>6000</v>
      </c>
      <c r="G30" s="22" t="n">
        <f aca="false">Premissas!$D$31</f>
        <v>6000</v>
      </c>
      <c r="H30" s="22" t="n">
        <f aca="false">Premissas!$D$31</f>
        <v>6000</v>
      </c>
      <c r="I30" s="22" t="n">
        <f aca="false">Premissas!$D$31</f>
        <v>6000</v>
      </c>
      <c r="J30" s="22" t="n">
        <f aca="false">Premissas!$D$31</f>
        <v>6000</v>
      </c>
      <c r="K30" s="22" t="n">
        <f aca="false">Premissas!$D$31</f>
        <v>6000</v>
      </c>
      <c r="L30" s="22" t="n">
        <f aca="false">Premissas!$D$31</f>
        <v>6000</v>
      </c>
      <c r="M30" s="22" t="n">
        <f aca="false">Premissas!$D$31</f>
        <v>6000</v>
      </c>
      <c r="N30" s="22" t="n">
        <f aca="false">Premissas!$D$31</f>
        <v>6000</v>
      </c>
      <c r="O30" s="22" t="n">
        <f aca="false">Premissas!$D$31</f>
        <v>6000</v>
      </c>
      <c r="P30" s="22" t="n">
        <f aca="false">Premissas!$D$31</f>
        <v>6000</v>
      </c>
      <c r="Q30" s="22" t="n">
        <f aca="false">Premissas!$D$31</f>
        <v>6000</v>
      </c>
      <c r="R30" s="22" t="n">
        <f aca="false">Premissas!$D$31</f>
        <v>6000</v>
      </c>
      <c r="S30" s="22" t="n">
        <f aca="false">Premissas!$D$31</f>
        <v>6000</v>
      </c>
      <c r="T30" s="22" t="n">
        <f aca="false">Premissas!$D$31</f>
        <v>6000</v>
      </c>
      <c r="U30" s="22" t="n">
        <f aca="false">Premissas!$D$31</f>
        <v>6000</v>
      </c>
      <c r="V30" s="22" t="n">
        <f aca="false">Premissas!$D$31</f>
        <v>6000</v>
      </c>
      <c r="W30" s="22" t="n">
        <f aca="false">Premissas!$D$31</f>
        <v>6000</v>
      </c>
      <c r="X30" s="22" t="n">
        <f aca="false">Premissas!$D$31</f>
        <v>6000</v>
      </c>
      <c r="Y30" s="22" t="n">
        <f aca="false">Premissas!$D$31</f>
        <v>6000</v>
      </c>
      <c r="Z30" s="22" t="n">
        <f aca="false">Premissas!$D$31</f>
        <v>6000</v>
      </c>
      <c r="AA30" s="22" t="n">
        <f aca="false">Premissas!$D$31</f>
        <v>6000</v>
      </c>
      <c r="AB30" s="22" t="n">
        <f aca="false">Premissas!$D$31</f>
        <v>6000</v>
      </c>
      <c r="AC30" s="22" t="n">
        <f aca="false">Premissas!$D$31</f>
        <v>6000</v>
      </c>
      <c r="AD30" s="22" t="n">
        <f aca="false">Premissas!$D$31</f>
        <v>6000</v>
      </c>
      <c r="AE30" s="22" t="n">
        <f aca="false">Premissas!$D$31</f>
        <v>6000</v>
      </c>
      <c r="AF30" s="22" t="n">
        <f aca="false">Premissas!$D$31</f>
        <v>6000</v>
      </c>
      <c r="AG30" s="22" t="n">
        <f aca="false">Premissas!$D$31</f>
        <v>6000</v>
      </c>
      <c r="AH30" s="22" t="n">
        <f aca="false">Premissas!$D$31</f>
        <v>6000</v>
      </c>
      <c r="AI30" s="22" t="n">
        <f aca="false">Premissas!$D$31</f>
        <v>6000</v>
      </c>
      <c r="AJ30" s="22" t="n">
        <f aca="false">Premissas!$D$31</f>
        <v>6000</v>
      </c>
      <c r="AK30" s="22" t="n">
        <f aca="false">Premissas!$D$31</f>
        <v>6000</v>
      </c>
      <c r="AL30" s="22" t="n">
        <f aca="false">Premissas!$D$31</f>
        <v>6000</v>
      </c>
      <c r="AM30" s="22" t="n">
        <f aca="false">Premissas!$D$31</f>
        <v>6000</v>
      </c>
      <c r="AN30" s="22" t="n">
        <f aca="false">Premissas!$D$31</f>
        <v>6000</v>
      </c>
      <c r="AO30" s="22" t="n">
        <f aca="false">Premissas!$D$31</f>
        <v>6000</v>
      </c>
      <c r="AP30" s="22" t="n">
        <f aca="false">Premissas!$D$31</f>
        <v>6000</v>
      </c>
      <c r="AQ30" s="22" t="n">
        <f aca="false">Premissas!$D$31</f>
        <v>6000</v>
      </c>
      <c r="AR30" s="22" t="n">
        <f aca="false">Premissas!$D$31</f>
        <v>6000</v>
      </c>
      <c r="AS30" s="22" t="n">
        <f aca="false">Premissas!$D$31</f>
        <v>6000</v>
      </c>
      <c r="AT30" s="22" t="n">
        <f aca="false">Premissas!$D$31</f>
        <v>6000</v>
      </c>
      <c r="AU30" s="22" t="n">
        <f aca="false">Premissas!$D$31</f>
        <v>6000</v>
      </c>
      <c r="AV30" s="22" t="n">
        <f aca="false">Premissas!$D$31</f>
        <v>6000</v>
      </c>
      <c r="AW30" s="22" t="n">
        <f aca="false">Premissas!$D$31</f>
        <v>6000</v>
      </c>
      <c r="AX30" s="22" t="n">
        <f aca="false">Premissas!$D$31</f>
        <v>6000</v>
      </c>
      <c r="AY30" s="22" t="n">
        <f aca="false">Premissas!$D$31</f>
        <v>6000</v>
      </c>
      <c r="AZ30" s="22" t="n">
        <f aca="false">Premissas!$D$31</f>
        <v>6000</v>
      </c>
      <c r="BA30" s="22" t="n">
        <f aca="false">Premissas!$D$31</f>
        <v>6000</v>
      </c>
      <c r="BB30" s="22" t="n">
        <f aca="false">Premissas!$D$31</f>
        <v>6000</v>
      </c>
      <c r="BC30" s="22" t="n">
        <f aca="false">Premissas!$D$31</f>
        <v>6000</v>
      </c>
      <c r="BD30" s="22" t="n">
        <f aca="false">Premissas!$D$31</f>
        <v>6000</v>
      </c>
      <c r="BE30" s="22" t="n">
        <f aca="false">Premissas!$D$31</f>
        <v>6000</v>
      </c>
      <c r="BF30" s="22" t="n">
        <f aca="false">Premissas!$D$31</f>
        <v>6000</v>
      </c>
      <c r="BG30" s="22" t="n">
        <f aca="false">Premissas!$D$31</f>
        <v>6000</v>
      </c>
      <c r="BH30" s="22" t="n">
        <f aca="false">Premissas!$D$31</f>
        <v>6000</v>
      </c>
      <c r="BI30" s="22" t="n">
        <f aca="false">Premissas!$D$31</f>
        <v>6000</v>
      </c>
      <c r="BJ30" s="22" t="n">
        <f aca="false">Premissas!$D$31</f>
        <v>6000</v>
      </c>
      <c r="BK30" s="22" t="n">
        <f aca="false">Premissas!$D$31</f>
        <v>6000</v>
      </c>
    </row>
    <row r="31" customFormat="false" ht="15" hidden="false" customHeight="false" outlineLevel="0" collapsed="false">
      <c r="A31" s="9" t="s">
        <v>169</v>
      </c>
      <c r="B31" s="19" t="s">
        <v>155</v>
      </c>
      <c r="C31" s="22" t="n">
        <v>0</v>
      </c>
      <c r="D31" s="22" t="n">
        <f aca="false">D24*Premissas!$D$32</f>
        <v>1579.5</v>
      </c>
      <c r="E31" s="22" t="n">
        <f aca="false">E24*Premissas!$D$32</f>
        <v>3143.205</v>
      </c>
      <c r="F31" s="22" t="n">
        <f aca="false">F24*Premissas!$D$32</f>
        <v>6432.2991</v>
      </c>
      <c r="G31" s="22" t="n">
        <f aca="false">G24*Premissas!$D$32</f>
        <v>9806.3032725</v>
      </c>
      <c r="H31" s="22" t="n">
        <f aca="false">H24*Premissas!$D$32</f>
        <v>13284.243096795</v>
      </c>
      <c r="I31" s="22" t="n">
        <f aca="false">I24*Premissas!$D$32</f>
        <v>16885.7175208091</v>
      </c>
      <c r="J31" s="22" t="n">
        <f aca="false">J24*Premissas!$D$32</f>
        <v>20631.0240207039</v>
      </c>
      <c r="K31" s="22" t="n">
        <f aca="false">K24*Premissas!$D$32</f>
        <v>24541.2868807806</v>
      </c>
      <c r="L31" s="22" t="n">
        <f aca="false">L24*Premissas!$D$32</f>
        <v>28638.5894538755</v>
      </c>
      <c r="M31" s="22" t="n">
        <f aca="false">M24*Premissas!$D$32</f>
        <v>32946.111276704</v>
      </c>
      <c r="N31" s="22" t="n">
        <f aca="false">N24*Premissas!$D$32</f>
        <v>37488.2709348983</v>
      </c>
      <c r="O31" s="22" t="n">
        <f aca="false">O24*Premissas!$D$32</f>
        <v>42290.8755988478</v>
      </c>
      <c r="P31" s="22" t="n">
        <f aca="false">P24*Premissas!$D$32</f>
        <v>47381.2781839885</v>
      </c>
      <c r="Q31" s="22" t="n">
        <f aca="false">Q24*Premissas!$D$32</f>
        <v>52788.5431280047</v>
      </c>
      <c r="R31" s="22" t="n">
        <f aca="false">R24*Premissas!$D$32</f>
        <v>58543.6218227041</v>
      </c>
      <c r="S31" s="22" t="n">
        <f aca="false">S24*Premissas!$D$32</f>
        <v>64679.5387902888</v>
      </c>
      <c r="T31" s="22" t="n">
        <f aca="false">T24*Premissas!$D$32</f>
        <v>71231.5897526595</v>
      </c>
      <c r="U31" s="22" t="n">
        <f aca="false">U24*Premissas!$D$32</f>
        <v>78237.5528085413</v>
      </c>
      <c r="V31" s="22" t="n">
        <f aca="false">V24*Premissas!$D$32</f>
        <v>85737.9140069744</v>
      </c>
      <c r="W31" s="22" t="n">
        <f aca="false">W24*Premissas!$D$32</f>
        <v>93776.1086874599</v>
      </c>
      <c r="X31" s="22" t="n">
        <f aca="false">X24*Premissas!$D$32</f>
        <v>102398.780047254</v>
      </c>
      <c r="Y31" s="22" t="n">
        <f aca="false">Y24*Premissas!$D$32</f>
        <v>111656.056495451</v>
      </c>
      <c r="Z31" s="22" t="n">
        <f aca="false">Z24*Premissas!$D$32</f>
        <v>121601.849462181</v>
      </c>
      <c r="AA31" s="22" t="n">
        <f aca="false">AA24*Premissas!$D$32</f>
        <v>132294.173450018</v>
      </c>
      <c r="AB31" s="22" t="n">
        <f aca="false">AB24*Premissas!$D$32</f>
        <v>143795.490244352</v>
      </c>
      <c r="AC31" s="22" t="n">
        <f aca="false">AC24*Premissas!$D$32</f>
        <v>156173.079340619</v>
      </c>
      <c r="AD31" s="22" t="n">
        <f aca="false">AD24*Premissas!$D$32</f>
        <v>169499.436799878</v>
      </c>
      <c r="AE31" s="22" t="n">
        <f aca="false">AE24*Premissas!$D$32</f>
        <v>183852.704911025</v>
      </c>
      <c r="AF31" s="22" t="n">
        <f aca="false">AF24*Premissas!$D$32</f>
        <v>199317.135219038</v>
      </c>
      <c r="AG31" s="22" t="n">
        <f aca="false">AG24*Premissas!$D$32</f>
        <v>215983.587675028</v>
      </c>
      <c r="AH31" s="22" t="n">
        <f aca="false">AH24*Premissas!$D$32</f>
        <v>233950.068876705</v>
      </c>
      <c r="AI31" s="22" t="n">
        <f aca="false">AI24*Premissas!$D$32</f>
        <v>253322.312598429</v>
      </c>
      <c r="AJ31" s="22" t="n">
        <f aca="false">AJ24*Premissas!$D$32</f>
        <v>274214.406059619</v>
      </c>
      <c r="AK31" s="22" t="n">
        <f aca="false">AK24*Premissas!$D$32</f>
        <v>296749.465650446</v>
      </c>
      <c r="AL31" s="22" t="n">
        <f aca="false">AL24*Premissas!$D$32</f>
        <v>321060.366125992</v>
      </c>
      <c r="AM31" s="22" t="n">
        <f aca="false">AM24*Premissas!$D$32</f>
        <v>347103.076283306</v>
      </c>
      <c r="AN31" s="22" t="n">
        <f aca="false">AN24*Premissas!$D$32</f>
        <v>373368.456868003</v>
      </c>
      <c r="AO31" s="22" t="n">
        <f aca="false">AO24*Premissas!$D$32</f>
        <v>399835.527769516</v>
      </c>
      <c r="AP31" s="22" t="n">
        <f aca="false">AP24*Premissas!$D$32</f>
        <v>424854.948959108</v>
      </c>
      <c r="AQ31" s="22" t="n">
        <f aca="false">AQ24*Premissas!$D$32</f>
        <v>448519.633444082</v>
      </c>
      <c r="AR31" s="22" t="n">
        <f aca="false">AR24*Premissas!$D$32</f>
        <v>470915.627079758</v>
      </c>
      <c r="AS31" s="22" t="n">
        <f aca="false">AS24*Premissas!$D$32</f>
        <v>492122.666812396</v>
      </c>
      <c r="AT31" s="22" t="n">
        <f aca="false">AT24*Premissas!$D$32</f>
        <v>512214.691072305</v>
      </c>
      <c r="AU31" s="22" t="n">
        <f aca="false">AU24*Premissas!$D$32</f>
        <v>531260.306527901</v>
      </c>
      <c r="AV31" s="22" t="n">
        <f aca="false">AV24*Premissas!$D$32</f>
        <v>549323.215036409</v>
      </c>
      <c r="AW31" s="22" t="n">
        <f aca="false">AW24*Premissas!$D$32</f>
        <v>566462.60428531</v>
      </c>
      <c r="AX31" s="22" t="n">
        <f aca="false">AX24*Premissas!$D$32</f>
        <v>582733.505307723</v>
      </c>
      <c r="AY31" s="22" t="n">
        <f aca="false">AY24*Premissas!$D$32</f>
        <v>598187.119771796</v>
      </c>
      <c r="AZ31" s="22" t="n">
        <f aca="false">AZ24*Premissas!$D$32</f>
        <v>612871.119686431</v>
      </c>
      <c r="BA31" s="22" t="n">
        <f aca="false">BA24*Premissas!$D$32</f>
        <v>626829.921930985</v>
      </c>
      <c r="BB31" s="22" t="n">
        <f aca="false">BB24*Premissas!$D$32</f>
        <v>640104.939802876</v>
      </c>
      <c r="BC31" s="22" t="n">
        <f aca="false">BC24*Premissas!$D$32</f>
        <v>652734.81358247</v>
      </c>
      <c r="BD31" s="22" t="n">
        <f aca="false">BD24*Premissas!$D$32</f>
        <v>664755.621937426</v>
      </c>
      <c r="BE31" s="22" t="n">
        <f aca="false">BE24*Premissas!$D$32</f>
        <v>676201.075827341</v>
      </c>
      <c r="BF31" s="22" t="n">
        <f aca="false">BF24*Premissas!$D$32</f>
        <v>687102.696422592</v>
      </c>
      <c r="BG31" s="22" t="n">
        <f aca="false">BG24*Premissas!$D$32</f>
        <v>697489.978417482</v>
      </c>
      <c r="BH31" s="22" t="n">
        <f aca="false">BH24*Premissas!$D$32</f>
        <v>707390.539995915</v>
      </c>
      <c r="BI31" s="22" t="n">
        <f aca="false">BI24*Premissas!$D$32</f>
        <v>716830.260596849</v>
      </c>
      <c r="BJ31" s="22" t="n">
        <f aca="false">BJ24*Premissas!$D$32</f>
        <v>725833.407525676</v>
      </c>
      <c r="BK31" s="22" t="n">
        <f aca="false">BK24*Premissas!$D$32</f>
        <v>734422.752365607</v>
      </c>
    </row>
    <row r="32" customFormat="false" ht="15" hidden="false" customHeight="false" outlineLevel="0" collapsed="false">
      <c r="A32" s="13" t="s">
        <v>170</v>
      </c>
      <c r="B32" s="19" t="s">
        <v>155</v>
      </c>
      <c r="C32" s="23" t="n">
        <v>0</v>
      </c>
      <c r="D32" s="23" t="n">
        <f aca="false">D27+D28+D29+D30+D31</f>
        <v>50629.5</v>
      </c>
      <c r="E32" s="23" t="n">
        <f aca="false">E27+E28+E29+E30+E31</f>
        <v>59322.705</v>
      </c>
      <c r="F32" s="23" t="n">
        <f aca="false">F27+F28+F29+F30+F31</f>
        <v>78979.9641</v>
      </c>
      <c r="G32" s="23" t="n">
        <f aca="false">G27+G28+G29+G30+G31</f>
        <v>90032.0190225</v>
      </c>
      <c r="H32" s="23" t="n">
        <f aca="false">H27+H28+H29+H30+H31</f>
        <v>101546.956277295</v>
      </c>
      <c r="I32" s="23" t="n">
        <f aca="false">I27+I28+I29+I30+I31</f>
        <v>113595.211950904</v>
      </c>
      <c r="J32" s="23" t="n">
        <f aca="false">J27+J28+J29+J30+J31</f>
        <v>126250.030917198</v>
      </c>
      <c r="K32" s="23" t="n">
        <f aca="false">K27+K28+K29+K30+K31</f>
        <v>139587.93867353</v>
      </c>
      <c r="L32" s="23" t="n">
        <f aca="false">L27+L28+L29+L30+L31</f>
        <v>153689.228970411</v>
      </c>
      <c r="M32" s="23" t="n">
        <f aca="false">M27+M28+M29+M30+M31</f>
        <v>168638.470462462</v>
      </c>
      <c r="N32" s="23" t="n">
        <f aca="false">N27+N28+N29+N30+N31</f>
        <v>184525.03569028</v>
      </c>
      <c r="O32" s="23" t="n">
        <f aca="false">O27+O28+O29+O30+O31</f>
        <v>201443.655807166</v>
      </c>
      <c r="P32" s="23" t="n">
        <f aca="false">P27+P28+P29+P30+P31</f>
        <v>219495.00459171</v>
      </c>
      <c r="Q32" s="23" t="n">
        <f aca="false">Q27+Q28+Q29+Q30+Q31</f>
        <v>238786.315437602</v>
      </c>
      <c r="R32" s="23" t="n">
        <f aca="false">R27+R28+R29+R30+R31</f>
        <v>259432.035186382</v>
      </c>
      <c r="S32" s="23" t="n">
        <f aca="false">S27+S28+S29+S30+S31</f>
        <v>290554.51886798</v>
      </c>
      <c r="T32" s="23" t="n">
        <f aca="false">T27+T28+T29+T30+T31</f>
        <v>314284.769638893</v>
      </c>
      <c r="U32" s="23" t="n">
        <f aca="false">U27+U28+U29+U30+U31</f>
        <v>339763.228459824</v>
      </c>
      <c r="V32" s="23" t="n">
        <f aca="false">V27+V28+V29+V30+V31</f>
        <v>367140.618334948</v>
      </c>
      <c r="W32" s="23" t="n">
        <f aca="false">W27+W28+W29+W30+W31</f>
        <v>396578.848245194</v>
      </c>
      <c r="X32" s="23" t="n">
        <f aca="false">X27+X28+X29+X30+X31</f>
        <v>428251.982249753</v>
      </c>
      <c r="Y32" s="23" t="n">
        <f aca="false">Y27+Y28+Y29+Y30+Y31</f>
        <v>462347.279605379</v>
      </c>
      <c r="Z32" s="23" t="n">
        <f aca="false">Z27+Z28+Z29+Z30+Z31</f>
        <v>508066.312164045</v>
      </c>
      <c r="AA32" s="23" t="n">
        <f aca="false">AA27+AA28+AA29+AA30+AA31</f>
        <v>547626.165758505</v>
      </c>
      <c r="AB32" s="23" t="n">
        <f aca="false">AB27+AB28+AB29+AB30+AB31</f>
        <v>590260.732774894</v>
      </c>
      <c r="AC32" s="23" t="n">
        <f aca="false">AC27+AC28+AC29+AC30+AC31</f>
        <v>636222.103644462</v>
      </c>
      <c r="AD32" s="23" t="n">
        <f aca="false">AD27+AD28+AD29+AD30+AD31</f>
        <v>685782.065565999</v>
      </c>
      <c r="AE32" s="23" t="n">
        <f aca="false">AE27+AE28+AE29+AE30+AE31</f>
        <v>748233.71739986</v>
      </c>
      <c r="AF32" s="23" t="n">
        <f aca="false">AF27+AF28+AF29+AF30+AF31</f>
        <v>805893.210357344</v>
      </c>
      <c r="AG32" s="23" t="n">
        <f aca="false">AG27+AG28+AG29+AG30+AG31</f>
        <v>868101.624849623</v>
      </c>
      <c r="AH32" s="23" t="n">
        <f aca="false">AH27+AH28+AH29+AH30+AH31</f>
        <v>944226.99466268</v>
      </c>
      <c r="AI32" s="23" t="n">
        <f aca="false">AI27+AI28+AI29+AI30+AI31</f>
        <v>1016666.49049361</v>
      </c>
      <c r="AJ32" s="23" t="n">
        <f aca="false">AJ27+AJ28+AJ29+AJ30+AJ31</f>
        <v>1094848.77582419</v>
      </c>
      <c r="AK32" s="23" t="n">
        <f aca="false">AK27+AK28+AK29+AK30+AK31</f>
        <v>1188236.54912557</v>
      </c>
      <c r="AL32" s="23" t="n">
        <f aca="false">AL27+AL28+AL29+AL30+AL31</f>
        <v>1279329.28748871</v>
      </c>
      <c r="AM32" s="23" t="n">
        <f aca="false">AM27+AM28+AM29+AM30+AM31</f>
        <v>1381369.68478303</v>
      </c>
      <c r="AN32" s="23" t="n">
        <f aca="false">AN27+AN28+AN29+AN30+AN31</f>
        <v>1434135.97207047</v>
      </c>
      <c r="AO32" s="23" t="n">
        <f aca="false">AO27+AO28+AO29+AO30+AO31</f>
        <v>1493924.01973884</v>
      </c>
      <c r="AP32" s="23" t="n">
        <f aca="false">AP27+AP28+AP29+AP30+AP31</f>
        <v>1541294.22766087</v>
      </c>
      <c r="AQ32" s="23" t="n">
        <f aca="false">AQ27+AQ28+AQ29+AQ30+AQ31</f>
        <v>1594508.07803198</v>
      </c>
      <c r="AR32" s="23" t="n">
        <f aca="false">AR27+AR28+AR29+AR30+AR31</f>
        <v>1635805.36458526</v>
      </c>
      <c r="AS32" s="23" t="n">
        <f aca="false">AS27+AS28+AS29+AS30+AS31</f>
        <v>1683406.07075571</v>
      </c>
      <c r="AT32" s="23" t="n">
        <f aca="false">AT27+AT28+AT29+AT30+AT31</f>
        <v>1719512.08176148</v>
      </c>
      <c r="AU32" s="23" t="n">
        <f aca="false">AU27+AU28+AU29+AU30+AU31</f>
        <v>1762308.74543179</v>
      </c>
      <c r="AV32" s="23" t="n">
        <f aca="false">AV27+AV28+AV29+AV30+AV31</f>
        <v>1793966.29528061</v>
      </c>
      <c r="AW32" s="23" t="n">
        <f aca="false">AW27+AW28+AW29+AW30+AW31</f>
        <v>1823641.14811554</v>
      </c>
      <c r="AX32" s="23" t="n">
        <f aca="false">AX27+AX28+AX29+AX30+AX31</f>
        <v>1860477.08736891</v>
      </c>
      <c r="AY32" s="23" t="n">
        <f aca="false">AY27+AY28+AY29+AY30+AY31</f>
        <v>1886606.34233613</v>
      </c>
      <c r="AZ32" s="23" t="n">
        <f aca="false">AZ27+AZ28+AZ29+AZ30+AZ31</f>
        <v>1911150.57259308</v>
      </c>
      <c r="BA32" s="23" t="n">
        <f aca="false">BA27+BA28+BA29+BA30+BA31</f>
        <v>1943221.76603422</v>
      </c>
      <c r="BB32" s="23" t="n">
        <f aca="false">BB27+BB28+BB29+BB30+BB31</f>
        <v>1964923.05821667</v>
      </c>
      <c r="BC32" s="23" t="n">
        <f aca="false">BC27+BC28+BC29+BC30+BC31</f>
        <v>1985349.48000768</v>
      </c>
      <c r="BD32" s="23" t="n">
        <f aca="false">BD27+BD28+BD29+BD30+BD31</f>
        <v>2013588.63990629</v>
      </c>
      <c r="BE32" s="23" t="n">
        <f aca="false">BE27+BE28+BE29+BE30+BE31</f>
        <v>2031721.34684004</v>
      </c>
      <c r="BF32" s="23" t="n">
        <f aca="false">BF27+BF28+BF29+BF30+BF31</f>
        <v>2048822.17871874</v>
      </c>
      <c r="BG32" s="23" t="n">
        <f aca="false">BG27+BG28+BG29+BG30+BG31</f>
        <v>2064960.00155459</v>
      </c>
      <c r="BH32" s="23" t="n">
        <f aca="false">BH27+BH28+BH29+BH30+BH31</f>
        <v>2089198.44352839</v>
      </c>
      <c r="BI32" s="23" t="n">
        <f aca="false">BI27+BI28+BI29+BI30+BI31</f>
        <v>2103596.32799</v>
      </c>
      <c r="BJ32" s="23" t="n">
        <f aca="false">BJ27+BJ28+BJ29+BJ30+BJ31</f>
        <v>2117208.0690249</v>
      </c>
      <c r="BK32" s="23" t="n">
        <f aca="false">BK27+BK28+BK29+BK30+BK31</f>
        <v>2130084.0328945</v>
      </c>
    </row>
    <row r="34" customFormat="false" ht="15" hidden="false" customHeight="false" outlineLevel="0" collapsed="false">
      <c r="A34" s="12" t="s">
        <v>171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</row>
    <row r="35" customFormat="false" ht="15" hidden="false" customHeight="false" outlineLevel="0" collapsed="false">
      <c r="A35" s="13" t="s">
        <v>172</v>
      </c>
      <c r="B35" s="19" t="s">
        <v>155</v>
      </c>
      <c r="C35" s="23" t="n">
        <v>0</v>
      </c>
      <c r="D35" s="23" t="n">
        <f aca="false">D24-D32</f>
        <v>-38929.5</v>
      </c>
      <c r="E35" s="23" t="n">
        <f aca="false">E24-E32</f>
        <v>-36039.705</v>
      </c>
      <c r="F35" s="23" t="n">
        <f aca="false">F24-F32</f>
        <v>-31333.3041</v>
      </c>
      <c r="G35" s="23" t="n">
        <f aca="false">G24-G32</f>
        <v>-17392.7355225</v>
      </c>
      <c r="H35" s="23" t="n">
        <f aca="false">H24-H32</f>
        <v>-3145.15556029501</v>
      </c>
      <c r="I35" s="23" t="n">
        <f aca="false">I24-I32</f>
        <v>11484.1770921259</v>
      </c>
      <c r="J35" s="23" t="n">
        <f aca="false">J24-J32</f>
        <v>26572.3692361646</v>
      </c>
      <c r="K35" s="23" t="n">
        <f aca="false">K24-K32</f>
        <v>42199.371554475</v>
      </c>
      <c r="L35" s="23" t="n">
        <f aca="false">L24-L32</f>
        <v>58448.4706879258</v>
      </c>
      <c r="M35" s="23" t="n">
        <f aca="false">M24-M32</f>
        <v>75406.7982538644</v>
      </c>
      <c r="N35" s="23" t="n">
        <f aca="false">N24-N32</f>
        <v>93165.8601237815</v>
      </c>
      <c r="O35" s="23" t="n">
        <f aca="false">O24-O32</f>
        <v>111822.089369485</v>
      </c>
      <c r="P35" s="23" t="n">
        <f aca="false">P24-P32</f>
        <v>131477.426400797</v>
      </c>
      <c r="Q35" s="23" t="n">
        <f aca="false">Q24-Q32</f>
        <v>152239.929955025</v>
      </c>
      <c r="R35" s="23" t="n">
        <f aca="false">R24-R32</f>
        <v>174224.422759574</v>
      </c>
      <c r="S35" s="23" t="n">
        <f aca="false">S24-S32</f>
        <v>188553.1758749</v>
      </c>
      <c r="T35" s="23" t="n">
        <f aca="false">T24-T32</f>
        <v>213356.635936362</v>
      </c>
      <c r="U35" s="23" t="n">
        <f aca="false">U24-U32</f>
        <v>239774.199751593</v>
      </c>
      <c r="V35" s="23" t="n">
        <f aca="false">V24-V32</f>
        <v>267955.040975973</v>
      </c>
      <c r="W35" s="23" t="n">
        <f aca="false">W24-W32</f>
        <v>298058.993884139</v>
      </c>
      <c r="X35" s="23" t="n">
        <f aca="false">X24-X32</f>
        <v>330257.499581755</v>
      </c>
      <c r="Y35" s="23" t="n">
        <f aca="false">Y24-Y32</f>
        <v>364734.620360927</v>
      </c>
      <c r="Z35" s="23" t="n">
        <f aca="false">Z24-Z32</f>
        <v>392688.128296557</v>
      </c>
      <c r="AA35" s="23" t="n">
        <f aca="false">AA24-AA32</f>
        <v>432330.674612002</v>
      </c>
      <c r="AB35" s="23" t="n">
        <f aca="false">AB24-AB32</f>
        <v>474891.046812896</v>
      </c>
      <c r="AC35" s="23" t="n">
        <f aca="false">AC24-AC32</f>
        <v>520615.521100862</v>
      </c>
      <c r="AD35" s="23" t="n">
        <f aca="false">AD24-AD32</f>
        <v>569769.318136801</v>
      </c>
      <c r="AE35" s="23" t="n">
        <f aca="false">AE24-AE32</f>
        <v>613638.170829954</v>
      </c>
      <c r="AF35" s="23" t="n">
        <f aca="false">AF24-AF32</f>
        <v>670530.013487382</v>
      </c>
      <c r="AG35" s="23" t="n">
        <f aca="false">AG24-AG32</f>
        <v>731776.802372808</v>
      </c>
      <c r="AH35" s="23" t="n">
        <f aca="false">AH24-AH32</f>
        <v>788736.478498101</v>
      </c>
      <c r="AI35" s="23" t="n">
        <f aca="false">AI24-AI32</f>
        <v>859795.084309573</v>
      </c>
      <c r="AJ35" s="23" t="n">
        <f aca="false">AJ24-AJ32</f>
        <v>936369.046839652</v>
      </c>
      <c r="AK35" s="23" t="n">
        <f aca="false">AK24-AK32</f>
        <v>1009907.64087773</v>
      </c>
      <c r="AL35" s="23" t="n">
        <f aca="false">AL24-AL32</f>
        <v>1098895.6467779</v>
      </c>
      <c r="AM35" s="23" t="n">
        <f aca="false">AM24-AM32</f>
        <v>1189764.21361183</v>
      </c>
      <c r="AN35" s="23" t="n">
        <f aca="false">AN24-AN32</f>
        <v>1331556.30102584</v>
      </c>
      <c r="AO35" s="23" t="n">
        <f aca="false">AO24-AO32</f>
        <v>1467820.63040572</v>
      </c>
      <c r="AP35" s="23" t="n">
        <f aca="false">AP24-AP32</f>
        <v>1605779.46833252</v>
      </c>
      <c r="AQ35" s="23" t="n">
        <f aca="false">AQ24-AQ32</f>
        <v>1727859.57710937</v>
      </c>
      <c r="AR35" s="23" t="n">
        <f aca="false">AR24-AR32</f>
        <v>1852458.53970924</v>
      </c>
      <c r="AS35" s="23" t="n">
        <f aca="false">AS24-AS32</f>
        <v>1961947.01674353</v>
      </c>
      <c r="AT35" s="23" t="n">
        <f aca="false">AT24-AT32</f>
        <v>2074670.8150704</v>
      </c>
      <c r="AU35" s="23" t="n">
        <f aca="false">AU24-AU32</f>
        <v>2172952.78440451</v>
      </c>
      <c r="AV35" s="23" t="n">
        <f aca="false">AV24-AV32</f>
        <v>2275094.55684093</v>
      </c>
      <c r="AW35" s="23" t="n">
        <f aca="false">AW24-AW32</f>
        <v>2372378.14288676</v>
      </c>
      <c r="AX35" s="23" t="n">
        <f aca="false">AX24-AX32</f>
        <v>2456067.39639201</v>
      </c>
      <c r="AY35" s="23" t="n">
        <f aca="false">AY24-AY32</f>
        <v>2544409.35967718</v>
      </c>
      <c r="AZ35" s="23" t="n">
        <f aca="false">AZ24-AZ32</f>
        <v>2628635.49915826</v>
      </c>
      <c r="BA35" s="23" t="n">
        <f aca="false">BA24-BA32</f>
        <v>2699962.84086197</v>
      </c>
      <c r="BB35" s="23" t="n">
        <f aca="false">BB24-BB32</f>
        <v>2776595.01439723</v>
      </c>
      <c r="BC35" s="23" t="n">
        <f aca="false">BC24-BC32</f>
        <v>2849723.2131958</v>
      </c>
      <c r="BD35" s="23" t="n">
        <f aca="false">BD24-BD32</f>
        <v>2910527.07814872</v>
      </c>
      <c r="BE35" s="23" t="n">
        <f aca="false">BE24-BE32</f>
        <v>2977175.51114026</v>
      </c>
      <c r="BF35" s="23" t="n">
        <f aca="false">BF24-BF32</f>
        <v>3040827.42441157</v>
      </c>
      <c r="BG35" s="23" t="n">
        <f aca="false">BG24-BG32</f>
        <v>3101632.4311675</v>
      </c>
      <c r="BH35" s="23" t="n">
        <f aca="false">BH24-BH32</f>
        <v>3150731.48236727</v>
      </c>
      <c r="BI35" s="23" t="n">
        <f aca="false">BI24-BI32</f>
        <v>3206257.45420888</v>
      </c>
      <c r="BJ35" s="23" t="n">
        <f aca="false">BJ24-BJ32</f>
        <v>3259335.69042455</v>
      </c>
      <c r="BK35" s="23" t="n">
        <f aca="false">BK24-BK32</f>
        <v>3310084.50314703</v>
      </c>
    </row>
    <row r="36" customFormat="false" ht="15" hidden="false" customHeight="false" outlineLevel="0" collapsed="false">
      <c r="A36" s="13" t="s">
        <v>173</v>
      </c>
      <c r="B36" s="19" t="s">
        <v>155</v>
      </c>
      <c r="C36" s="23" t="n">
        <f aca="false">Premissas!$D$33</f>
        <v>-21000</v>
      </c>
      <c r="D36" s="23" t="n">
        <f aca="false">C36+D35</f>
        <v>-59929.5</v>
      </c>
      <c r="E36" s="23" t="n">
        <f aca="false">D36+E35</f>
        <v>-95969.205</v>
      </c>
      <c r="F36" s="23" t="n">
        <f aca="false">E36+F35</f>
        <v>-127302.5091</v>
      </c>
      <c r="G36" s="23" t="n">
        <f aca="false">F36+G35</f>
        <v>-144695.2446225</v>
      </c>
      <c r="H36" s="23" t="n">
        <f aca="false">G36+H35</f>
        <v>-147840.400182795</v>
      </c>
      <c r="I36" s="23" t="n">
        <f aca="false">H36+I35</f>
        <v>-136356.223090669</v>
      </c>
      <c r="J36" s="23" t="n">
        <f aca="false">I36+J35</f>
        <v>-109783.853854505</v>
      </c>
      <c r="K36" s="23" t="n">
        <f aca="false">J36+K35</f>
        <v>-67584.4823000295</v>
      </c>
      <c r="L36" s="23" t="n">
        <f aca="false">K36+L35</f>
        <v>-9136.01161210361</v>
      </c>
      <c r="M36" s="23" t="n">
        <f aca="false">L36+M35</f>
        <v>66270.7866417608</v>
      </c>
      <c r="N36" s="23" t="n">
        <f aca="false">M36+N35</f>
        <v>159436.646765542</v>
      </c>
      <c r="O36" s="23" t="n">
        <f aca="false">N36+O35</f>
        <v>271258.736135027</v>
      </c>
      <c r="P36" s="23" t="n">
        <f aca="false">O36+P35</f>
        <v>402736.162535824</v>
      </c>
      <c r="Q36" s="23" t="n">
        <f aca="false">P36+Q35</f>
        <v>554976.09249085</v>
      </c>
      <c r="R36" s="23" t="n">
        <f aca="false">Q36+R35</f>
        <v>729200.515250424</v>
      </c>
      <c r="S36" s="23" t="n">
        <f aca="false">R36+S35</f>
        <v>917753.691125325</v>
      </c>
      <c r="T36" s="23" t="n">
        <f aca="false">S36+T35</f>
        <v>1131110.32706169</v>
      </c>
      <c r="U36" s="23" t="n">
        <f aca="false">T36+U35</f>
        <v>1370884.52681328</v>
      </c>
      <c r="V36" s="23" t="n">
        <f aca="false">U36+V35</f>
        <v>1638839.56778925</v>
      </c>
      <c r="W36" s="23" t="n">
        <f aca="false">V36+W35</f>
        <v>1936898.56167339</v>
      </c>
      <c r="X36" s="23" t="n">
        <f aca="false">W36+X35</f>
        <v>2267156.06125515</v>
      </c>
      <c r="Y36" s="23" t="n">
        <f aca="false">X36+Y35</f>
        <v>2631890.68161607</v>
      </c>
      <c r="Z36" s="23" t="n">
        <f aca="false">Y36+Z35</f>
        <v>3024578.80991263</v>
      </c>
      <c r="AA36" s="23" t="n">
        <f aca="false">Z36+AA35</f>
        <v>3456909.48452463</v>
      </c>
      <c r="AB36" s="23" t="n">
        <f aca="false">AA36+AB35</f>
        <v>3931800.53133753</v>
      </c>
      <c r="AC36" s="23" t="n">
        <f aca="false">AB36+AC35</f>
        <v>4452416.05243839</v>
      </c>
      <c r="AD36" s="23" t="n">
        <f aca="false">AC36+AD35</f>
        <v>5022185.37057519</v>
      </c>
      <c r="AE36" s="23" t="n">
        <f aca="false">AD36+AE35</f>
        <v>5635823.54140514</v>
      </c>
      <c r="AF36" s="23" t="n">
        <f aca="false">AE36+AF35</f>
        <v>6306353.55489253</v>
      </c>
      <c r="AG36" s="23" t="n">
        <f aca="false">AF36+AG35</f>
        <v>7038130.35726533</v>
      </c>
      <c r="AH36" s="23" t="n">
        <f aca="false">AG36+AH35</f>
        <v>7826866.83576343</v>
      </c>
      <c r="AI36" s="23" t="n">
        <f aca="false">AH36+AI35</f>
        <v>8686661.92007301</v>
      </c>
      <c r="AJ36" s="23" t="n">
        <f aca="false">AI36+AJ35</f>
        <v>9623030.96691266</v>
      </c>
      <c r="AK36" s="23" t="n">
        <f aca="false">AJ36+AK35</f>
        <v>10632938.6077904</v>
      </c>
      <c r="AL36" s="23" t="n">
        <f aca="false">AK36+AL35</f>
        <v>11731834.2545683</v>
      </c>
      <c r="AM36" s="23" t="n">
        <f aca="false">AL36+AM35</f>
        <v>12921598.4681801</v>
      </c>
      <c r="AN36" s="23" t="n">
        <f aca="false">AM36+AN35</f>
        <v>14253154.769206</v>
      </c>
      <c r="AO36" s="23" t="n">
        <f aca="false">AN36+AO35</f>
        <v>15720975.3996117</v>
      </c>
      <c r="AP36" s="23" t="n">
        <f aca="false">AO36+AP35</f>
        <v>17326754.8679442</v>
      </c>
      <c r="AQ36" s="23" t="n">
        <f aca="false">AP36+AQ35</f>
        <v>19054614.4450536</v>
      </c>
      <c r="AR36" s="23" t="n">
        <f aca="false">AQ36+AR35</f>
        <v>20907072.9847628</v>
      </c>
      <c r="AS36" s="23" t="n">
        <f aca="false">AR36+AS35</f>
        <v>22869020.0015063</v>
      </c>
      <c r="AT36" s="23" t="n">
        <f aca="false">AS36+AT35</f>
        <v>24943690.8165767</v>
      </c>
      <c r="AU36" s="23" t="n">
        <f aca="false">AT36+AU35</f>
        <v>27116643.6009812</v>
      </c>
      <c r="AV36" s="23" t="n">
        <f aca="false">AU36+AV35</f>
        <v>29391738.1578222</v>
      </c>
      <c r="AW36" s="23" t="n">
        <f aca="false">AV36+AW35</f>
        <v>31764116.3007089</v>
      </c>
      <c r="AX36" s="23" t="n">
        <f aca="false">AW36+AX35</f>
        <v>34220183.6971009</v>
      </c>
      <c r="AY36" s="23" t="n">
        <f aca="false">AX36+AY35</f>
        <v>36764593.0567781</v>
      </c>
      <c r="AZ36" s="23" t="n">
        <f aca="false">AY36+AZ35</f>
        <v>39393228.5559364</v>
      </c>
      <c r="BA36" s="23" t="n">
        <f aca="false">AZ36+BA35</f>
        <v>42093191.3967984</v>
      </c>
      <c r="BB36" s="23" t="n">
        <f aca="false">BA36+BB35</f>
        <v>44869786.4111956</v>
      </c>
      <c r="BC36" s="23" t="n">
        <f aca="false">BB36+BC35</f>
        <v>47719509.6243914</v>
      </c>
      <c r="BD36" s="23" t="n">
        <f aca="false">BC36+BD35</f>
        <v>50630036.7025401</v>
      </c>
      <c r="BE36" s="23" t="n">
        <f aca="false">BD36+BE35</f>
        <v>53607212.2136804</v>
      </c>
      <c r="BF36" s="23" t="n">
        <f aca="false">BE36+BF35</f>
        <v>56648039.6380919</v>
      </c>
      <c r="BG36" s="23" t="n">
        <f aca="false">BF36+BG35</f>
        <v>59749672.0692594</v>
      </c>
      <c r="BH36" s="23" t="n">
        <f aca="false">BG36+BH35</f>
        <v>62900403.5516267</v>
      </c>
      <c r="BI36" s="23" t="n">
        <f aca="false">BH36+BI35</f>
        <v>66106661.0058356</v>
      </c>
      <c r="BJ36" s="23" t="n">
        <f aca="false">BI36+BJ35</f>
        <v>69365996.6962601</v>
      </c>
      <c r="BK36" s="23" t="n">
        <f aca="false">BJ36+BK35</f>
        <v>72676081.1994072</v>
      </c>
    </row>
  </sheetData>
  <mergeCells count="5">
    <mergeCell ref="D3:O3"/>
    <mergeCell ref="P3:AA3"/>
    <mergeCell ref="AB3:AM3"/>
    <mergeCell ref="AN3:AY3"/>
    <mergeCell ref="AZ3:B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6" min="2" style="0" width="13"/>
    <col collapsed="false" customWidth="true" hidden="false" outlineLevel="0" max="17" min="17" style="0" width="4"/>
    <col collapsed="false" customWidth="true" hidden="false" outlineLevel="0" max="21" min="18" style="0" width="15"/>
  </cols>
  <sheetData>
    <row r="1" customFormat="false" ht="17.35" hidden="false" customHeight="false" outlineLevel="0" collapsed="false">
      <c r="A1" s="5" t="s">
        <v>176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3" customFormat="false" ht="64.9" hidden="false" customHeight="false" outlineLevel="0" collapsed="false">
      <c r="A3" s="6" t="s">
        <v>73</v>
      </c>
      <c r="B3" s="20" t="s">
        <v>177</v>
      </c>
      <c r="C3" s="20" t="s">
        <v>178</v>
      </c>
      <c r="D3" s="20" t="s">
        <v>179</v>
      </c>
      <c r="E3" s="20" t="s">
        <v>180</v>
      </c>
      <c r="F3" s="20" t="s">
        <v>181</v>
      </c>
      <c r="H3" s="25" t="s">
        <v>182</v>
      </c>
      <c r="I3" s="25" t="s">
        <v>183</v>
      </c>
      <c r="J3" s="25" t="s">
        <v>184</v>
      </c>
      <c r="K3" s="25" t="s">
        <v>185</v>
      </c>
      <c r="L3" s="25" t="s">
        <v>186</v>
      </c>
      <c r="N3" s="26" t="s">
        <v>187</v>
      </c>
      <c r="O3" s="26" t="s">
        <v>188</v>
      </c>
      <c r="P3" s="26" t="s">
        <v>189</v>
      </c>
      <c r="Q3" s="26" t="s">
        <v>190</v>
      </c>
      <c r="R3" s="26" t="s">
        <v>191</v>
      </c>
    </row>
    <row r="4" customFormat="false" ht="15" hidden="false" customHeight="false" outlineLevel="0" collapsed="false">
      <c r="A4" s="9" t="s">
        <v>192</v>
      </c>
      <c r="B4" s="27" t="n">
        <f aca="false">SUM(Pessimista!D6:O6)</f>
        <v>536.483589125091</v>
      </c>
      <c r="C4" s="27" t="n">
        <f aca="false">SUM(Pessimista!P6:AA6)</f>
        <v>680.39090982536</v>
      </c>
      <c r="D4" s="27" t="n">
        <f aca="false">SUM(Pessimista!AB6:AM6)</f>
        <v>862.900188480958</v>
      </c>
      <c r="E4" s="27" t="n">
        <f aca="false">SUM(Pessimista!AN6:AY6)</f>
        <v>1094.36608356745</v>
      </c>
      <c r="F4" s="27" t="n">
        <f aca="false">SUM(Pessimista!AZ6:BK6)</f>
        <v>1387.92080573197</v>
      </c>
      <c r="H4" s="27" t="n">
        <f aca="false">SUM(Realista!D6:O6)</f>
        <v>1237.12254714287</v>
      </c>
      <c r="I4" s="27" t="n">
        <f aca="false">SUM(Realista!P6:AA6)</f>
        <v>2098.01315775809</v>
      </c>
      <c r="J4" s="27" t="n">
        <f aca="false">SUM(Realista!AB6:AM6)</f>
        <v>3557.98155994462</v>
      </c>
      <c r="K4" s="27" t="n">
        <f aca="false">SUM(Realista!AN6:AY6)</f>
        <v>6033.91486564053</v>
      </c>
      <c r="L4" s="27" t="n">
        <f aca="false">SUM(Realista!AZ6:BK6)</f>
        <v>9806.40462014559</v>
      </c>
      <c r="N4" s="27" t="n">
        <f aca="false">SUM(Otimista!D6:O6)</f>
        <v>2846.56896903559</v>
      </c>
      <c r="O4" s="27" t="n">
        <f aca="false">SUM(Otimista!P6:AA6)</f>
        <v>7168.14491328962</v>
      </c>
      <c r="P4" s="27" t="n">
        <f aca="false">SUM(Otimista!AB6:AM6)</f>
        <v>18032.8066695258</v>
      </c>
      <c r="Q4" s="27" t="n">
        <f aca="false">SUM(Otimista!AN6:AY6)</f>
        <v>26400</v>
      </c>
      <c r="R4" s="27" t="n">
        <f aca="false">SUM(Otimista!AZ6:BK6)</f>
        <v>26400</v>
      </c>
    </row>
    <row r="5" customFormat="false" ht="15" hidden="false" customHeight="false" outlineLevel="0" collapsed="false">
      <c r="A5" s="9" t="s">
        <v>193</v>
      </c>
      <c r="B5" s="27" t="n">
        <f aca="false">Pessimista!O13</f>
        <v>9.4152715892535</v>
      </c>
      <c r="C5" s="27" t="n">
        <f aca="false">Pessimista!AA13</f>
        <v>16.6352356436699</v>
      </c>
      <c r="D5" s="27" t="n">
        <f aca="false">Pessimista!AM13</f>
        <v>22.8234722498554</v>
      </c>
      <c r="E5" s="27" t="n">
        <f aca="false">Pessimista!AY13</f>
        <v>29.5802629800737</v>
      </c>
      <c r="F5" s="27" t="n">
        <f aca="false">Pessimista!BK13</f>
        <v>37.748240121116</v>
      </c>
      <c r="H5" s="27" t="n">
        <f aca="false">Realista!O13</f>
        <v>46.3704826348799</v>
      </c>
      <c r="I5" s="27" t="n">
        <f aca="false">Realista!AA13</f>
        <v>108.677217522711</v>
      </c>
      <c r="J5" s="27" t="n">
        <f aca="false">Realista!AM13</f>
        <v>198.599549197008</v>
      </c>
      <c r="K5" s="27" t="n">
        <f aca="false">Realista!AY13</f>
        <v>343.604984815546</v>
      </c>
      <c r="L5" s="27" t="n">
        <f aca="false">Realista!BK13</f>
        <v>578.608217785181</v>
      </c>
      <c r="N5" s="27" t="n">
        <f aca="false">Otimista!O13</f>
        <v>205.437699676177</v>
      </c>
      <c r="O5" s="27" t="n">
        <f aca="false">Otimista!AA13</f>
        <v>691.513758309353</v>
      </c>
      <c r="P5" s="27" t="n">
        <f aca="false">Otimista!AM13</f>
        <v>1848.07516127364</v>
      </c>
      <c r="Q5" s="27" t="n">
        <f aca="false">Otimista!AY13</f>
        <v>3465.15583193062</v>
      </c>
      <c r="R5" s="27" t="n">
        <f aca="false">Otimista!BK13</f>
        <v>4466.24075704695</v>
      </c>
    </row>
    <row r="6" customFormat="false" ht="15" hidden="false" customHeight="false" outlineLevel="0" collapsed="false">
      <c r="A6" s="9" t="s">
        <v>194</v>
      </c>
      <c r="B6" s="27" t="n">
        <f aca="false">Pessimista!O14</f>
        <v>267.141492049666</v>
      </c>
      <c r="C6" s="27" t="n">
        <f aca="false">Pessimista!AA14</f>
        <v>379.615295576616</v>
      </c>
      <c r="D6" s="27" t="n">
        <f aca="false">Pessimista!AM14</f>
        <v>488.307854507747</v>
      </c>
      <c r="E6" s="27" t="n">
        <f aca="false">Pessimista!AY14</f>
        <v>620.65783515102</v>
      </c>
      <c r="F6" s="27" t="n">
        <f aca="false">Pessimista!BK14</f>
        <v>787.481474649057</v>
      </c>
      <c r="H6" s="27" t="n">
        <f aca="false">Realista!O14</f>
        <v>726.97274697562</v>
      </c>
      <c r="I6" s="27" t="n">
        <f aca="false">Realista!AA14</f>
        <v>1405.68790538625</v>
      </c>
      <c r="J6" s="27" t="n">
        <f aca="false">Realista!AM14</f>
        <v>2428.97156525259</v>
      </c>
      <c r="K6" s="27" t="n">
        <f aca="false">Realista!AY14</f>
        <v>4132.69321327142</v>
      </c>
      <c r="L6" s="27" t="n">
        <f aca="false">Realista!BK14</f>
        <v>6634.07207507518</v>
      </c>
      <c r="N6" s="27" t="n">
        <f aca="false">Otimista!O14</f>
        <v>1971.06886382179</v>
      </c>
      <c r="O6" s="27" t="n">
        <f aca="false">Otimista!AA14</f>
        <v>5679.44111593966</v>
      </c>
      <c r="P6" s="27" t="n">
        <f aca="false">Otimista!AM14</f>
        <v>14565.4299444343</v>
      </c>
      <c r="Q6" s="27" t="n">
        <f aca="false">Otimista!AY14</f>
        <v>22311.8230579382</v>
      </c>
      <c r="R6" s="27" t="n">
        <f aca="false">Otimista!BK14</f>
        <v>25283.7511306998</v>
      </c>
    </row>
    <row r="7" customFormat="false" ht="15" hidden="false" customHeight="false" outlineLevel="0" collapsed="false">
      <c r="A7" s="13" t="s">
        <v>195</v>
      </c>
      <c r="B7" s="27" t="n">
        <f aca="false">SUM(Pessimista!D24:O24)</f>
        <v>46134.9115141485</v>
      </c>
      <c r="C7" s="27" t="n">
        <f aca="false">SUM(Pessimista!P24:AA24)</f>
        <v>105757.675549534</v>
      </c>
      <c r="D7" s="27" t="n">
        <f aca="false">SUM(Pessimista!AB24:AM24)</f>
        <v>147932.35519246</v>
      </c>
      <c r="E7" s="27" t="n">
        <f aca="false">SUM(Pessimista!AN24:AY24)</f>
        <v>192155.715232745</v>
      </c>
      <c r="F7" s="27" t="n">
        <f aca="false">SUM(Pessimista!AZ24:BK24)</f>
        <v>245293.746812433</v>
      </c>
      <c r="H7" s="27" t="n">
        <f aca="false">SUM(Realista!D24:O24)</f>
        <v>322204.984147356</v>
      </c>
      <c r="I7" s="27" t="n">
        <f aca="false">SUM(Realista!P24:AA24)</f>
        <v>964403.721453676</v>
      </c>
      <c r="J7" s="27" t="n">
        <f aca="false">SUM(Realista!AB24:AM24)</f>
        <v>1798219.28115668</v>
      </c>
      <c r="K7" s="27" t="n">
        <f aca="false">SUM(Realista!AN24:AY24)</f>
        <v>3118772.26137373</v>
      </c>
      <c r="L7" s="27" t="n">
        <f aca="false">SUM(Realista!AZ24:BK24)</f>
        <v>5285563.52770487</v>
      </c>
      <c r="N7" s="27" t="n">
        <f aca="false">SUM(Otimista!D24:O24)</f>
        <v>1760499.45300677</v>
      </c>
      <c r="O7" s="27" t="n">
        <f aca="false">SUM(Otimista!P24:AA24)</f>
        <v>7557977.82692982</v>
      </c>
      <c r="P7" s="27" t="n">
        <f aca="false">SUM(Otimista!AB24:AM24)</f>
        <v>20703860.2206255</v>
      </c>
      <c r="Q7" s="27" t="n">
        <f aca="false">SUM(Otimista!AN24:AY24)</f>
        <v>44072580.0217356</v>
      </c>
      <c r="R7" s="27" t="n">
        <f aca="false">SUM(Otimista!AZ24:BK24)</f>
        <v>60315312.0599382</v>
      </c>
    </row>
    <row r="8" customFormat="false" ht="15" hidden="false" customHeight="false" outlineLevel="0" collapsed="false">
      <c r="A8" s="13" t="s">
        <v>196</v>
      </c>
      <c r="B8" s="27" t="n">
        <f aca="false">SUM(Pessimista!D32:O32)</f>
        <v>282077.479601067</v>
      </c>
      <c r="C8" s="27" t="n">
        <f aca="false">SUM(Pessimista!P32:AA32)</f>
        <v>381088.139167285</v>
      </c>
      <c r="D8" s="27" t="n">
        <f aca="false">SUM(Pessimista!AB32:AM32)</f>
        <v>451313.604548456</v>
      </c>
      <c r="E8" s="27" t="n">
        <f aca="false">SUM(Pessimista!AN32:AY32)</f>
        <v>535079.036754435</v>
      </c>
      <c r="F8" s="27" t="n">
        <f aca="false">SUM(Pessimista!AZ32:BK32)</f>
        <v>640314.852652908</v>
      </c>
      <c r="H8" s="27" t="n">
        <f aca="false">SUM(Realista!D32:O32)</f>
        <v>585637.335520884</v>
      </c>
      <c r="I8" s="27" t="n">
        <f aca="false">SUM(Realista!P32:AA32)</f>
        <v>1069587.99270241</v>
      </c>
      <c r="J8" s="27" t="n">
        <f aca="false">SUM(Realista!AB32:AM32)</f>
        <v>1746266.06179606</v>
      </c>
      <c r="K8" s="27" t="n">
        <f aca="false">SUM(Realista!AN32:AY32)</f>
        <v>2863599.62566224</v>
      </c>
      <c r="L8" s="27" t="n">
        <f aca="false">SUM(Realista!AZ32:BK32)</f>
        <v>4712072.99220012</v>
      </c>
      <c r="N8" s="27" t="n">
        <f aca="false">SUM(Otimista!D32:O32)</f>
        <v>1468240.71687174</v>
      </c>
      <c r="O8" s="27" t="n">
        <f aca="false">SUM(Otimista!P32:AA32)</f>
        <v>4372327.07854021</v>
      </c>
      <c r="P8" s="27" t="n">
        <f aca="false">SUM(Otimista!AB32:AM32)</f>
        <v>11239171.23697</v>
      </c>
      <c r="Q8" s="27" t="n">
        <f aca="false">SUM(Otimista!AN32:AY32)</f>
        <v>20229585.4331376</v>
      </c>
      <c r="R8" s="27" t="n">
        <f aca="false">SUM(Otimista!AZ32:BK32)</f>
        <v>24403823.9173091</v>
      </c>
    </row>
    <row r="9" customFormat="false" ht="15" hidden="false" customHeight="false" outlineLevel="0" collapsed="false">
      <c r="A9" s="13" t="s">
        <v>197</v>
      </c>
      <c r="B9" s="27" t="n">
        <f aca="false">SUM(Pessimista!D35:O35)</f>
        <v>-235942.568086919</v>
      </c>
      <c r="C9" s="27" t="n">
        <f aca="false">SUM(Pessimista!P35:AA35)</f>
        <v>-275330.463617751</v>
      </c>
      <c r="D9" s="27" t="n">
        <f aca="false">SUM(Pessimista!AB35:AM35)</f>
        <v>-303381.249355995</v>
      </c>
      <c r="E9" s="27" t="n">
        <f aca="false">SUM(Pessimista!AN35:AY35)</f>
        <v>-342923.32152169</v>
      </c>
      <c r="F9" s="27" t="n">
        <f aca="false">SUM(Pessimista!AZ35:BK35)</f>
        <v>-395021.105840475</v>
      </c>
      <c r="H9" s="27" t="n">
        <f aca="false">SUM(Realista!D35:O35)</f>
        <v>-263432.351373528</v>
      </c>
      <c r="I9" s="27" t="n">
        <f aca="false">SUM(Realista!P35:AA35)</f>
        <v>-105184.271248738</v>
      </c>
      <c r="J9" s="27" t="n">
        <f aca="false">SUM(Realista!AB35:AM35)</f>
        <v>51953.219360623</v>
      </c>
      <c r="K9" s="27" t="n">
        <f aca="false">SUM(Realista!AN35:AY35)</f>
        <v>255172.635711492</v>
      </c>
      <c r="L9" s="27" t="n">
        <f aca="false">SUM(Realista!AZ35:BK35)</f>
        <v>573490.535504746</v>
      </c>
      <c r="N9" s="27" t="n">
        <f aca="false">SUM(Otimista!D35:O35)</f>
        <v>292258.736135027</v>
      </c>
      <c r="O9" s="27" t="n">
        <f aca="false">SUM(Otimista!P35:AA35)</f>
        <v>3185650.74838961</v>
      </c>
      <c r="P9" s="27" t="n">
        <f aca="false">SUM(Otimista!AB35:AM35)</f>
        <v>9464688.98365548</v>
      </c>
      <c r="Q9" s="27" t="n">
        <f aca="false">SUM(Otimista!AN35:AY35)</f>
        <v>23842994.588598</v>
      </c>
      <c r="R9" s="27" t="n">
        <f aca="false">SUM(Otimista!AZ35:BK35)</f>
        <v>35911488.142629</v>
      </c>
    </row>
    <row r="10" customFormat="false" ht="15" hidden="false" customHeight="false" outlineLevel="0" collapsed="false">
      <c r="A10" s="13" t="s">
        <v>198</v>
      </c>
      <c r="B10" s="27" t="n">
        <f aca="false">Pessimista!O36</f>
        <v>-256942.568086919</v>
      </c>
      <c r="C10" s="27" t="n">
        <f aca="false">Pessimista!AA36</f>
        <v>-532273.03170467</v>
      </c>
      <c r="D10" s="27" t="n">
        <f aca="false">Pessimista!AM36</f>
        <v>-835654.281060665</v>
      </c>
      <c r="E10" s="27" t="n">
        <f aca="false">Pessimista!AY36</f>
        <v>-1178577.60258236</v>
      </c>
      <c r="F10" s="27" t="n">
        <f aca="false">Pessimista!BK36</f>
        <v>-1573598.70842283</v>
      </c>
      <c r="H10" s="27" t="n">
        <f aca="false">Realista!O36</f>
        <v>-284432.351373528</v>
      </c>
      <c r="I10" s="27" t="n">
        <f aca="false">Realista!AA36</f>
        <v>-389616.622622266</v>
      </c>
      <c r="J10" s="27" t="n">
        <f aca="false">Realista!AM36</f>
        <v>-337663.403261643</v>
      </c>
      <c r="K10" s="27" t="n">
        <f aca="false">Realista!AY36</f>
        <v>-82490.7675501504</v>
      </c>
      <c r="L10" s="27" t="n">
        <f aca="false">Realista!BK36</f>
        <v>490999.767954595</v>
      </c>
      <c r="N10" s="27" t="n">
        <f aca="false">Otimista!O36</f>
        <v>271258.736135027</v>
      </c>
      <c r="O10" s="27" t="n">
        <f aca="false">Otimista!AA36</f>
        <v>3456909.48452463</v>
      </c>
      <c r="P10" s="27" t="n">
        <f aca="false">Otimista!AM36</f>
        <v>12921598.4681801</v>
      </c>
      <c r="Q10" s="27" t="n">
        <f aca="false">Otimista!AY36</f>
        <v>36764593.0567781</v>
      </c>
      <c r="R10" s="27" t="n">
        <f aca="false">Otimista!BK36</f>
        <v>72676081.1994072</v>
      </c>
    </row>
    <row r="13" customFormat="false" ht="15" hidden="false" customHeight="false" outlineLevel="0" collapsed="false">
      <c r="A13" s="28" t="s">
        <v>199</v>
      </c>
    </row>
    <row r="14" customFormat="false" ht="15" hidden="false" customHeight="false" outlineLevel="0" collapsed="false">
      <c r="A14" s="6" t="s">
        <v>73</v>
      </c>
      <c r="B14" s="29" t="s">
        <v>20</v>
      </c>
      <c r="C14" s="30" t="s">
        <v>21</v>
      </c>
      <c r="D14" s="31" t="s">
        <v>22</v>
      </c>
    </row>
    <row r="15" customFormat="false" ht="15" hidden="false" customHeight="false" outlineLevel="0" collapsed="false">
      <c r="A15" s="13" t="s">
        <v>200</v>
      </c>
      <c r="B15" s="27" t="n">
        <f aca="false">SUM(Pessimista!D24:BK24)</f>
        <v>737274.404301321</v>
      </c>
      <c r="C15" s="27" t="n">
        <f aca="false">SUM(Realista!D24:BK24)</f>
        <v>11489163.7758363</v>
      </c>
      <c r="D15" s="27" t="n">
        <f aca="false">SUM(Otimista!D24:BK24)</f>
        <v>134410229.582236</v>
      </c>
    </row>
    <row r="16" customFormat="false" ht="15" hidden="false" customHeight="false" outlineLevel="0" collapsed="false">
      <c r="A16" s="13" t="s">
        <v>201</v>
      </c>
      <c r="B16" s="27" t="n">
        <f aca="false">SUM(Pessimista!D32:BK32)</f>
        <v>2289873.11272415</v>
      </c>
      <c r="C16" s="27" t="n">
        <f aca="false">SUM(Realista!D32:BK32)</f>
        <v>10977164.0078817</v>
      </c>
      <c r="D16" s="27" t="n">
        <f aca="false">SUM(Otimista!D32:BK32)</f>
        <v>61713148.3828286</v>
      </c>
    </row>
    <row r="17" customFormat="false" ht="15" hidden="false" customHeight="false" outlineLevel="0" collapsed="false">
      <c r="A17" s="13" t="s">
        <v>202</v>
      </c>
      <c r="B17" s="27" t="n">
        <f aca="false">SUM(Pessimista!D35:BK35)</f>
        <v>-1552598.70842283</v>
      </c>
      <c r="C17" s="27" t="n">
        <f aca="false">SUM(Realista!D35:BK35)</f>
        <v>511999.767954595</v>
      </c>
      <c r="D17" s="27" t="n">
        <f aca="false">SUM(Otimista!D35:BK35)</f>
        <v>72697081.1994072</v>
      </c>
    </row>
    <row r="18" customFormat="false" ht="15" hidden="false" customHeight="false" outlineLevel="0" collapsed="false">
      <c r="A18" s="13" t="s">
        <v>203</v>
      </c>
      <c r="B18" s="27" t="n">
        <f aca="false">Pessimista!BK36</f>
        <v>-1573598.70842283</v>
      </c>
      <c r="C18" s="27" t="n">
        <f aca="false">Realista!BK36</f>
        <v>490999.767954595</v>
      </c>
      <c r="D18" s="27" t="n">
        <f aca="false">Otimista!BK36</f>
        <v>72676081.1994072</v>
      </c>
    </row>
    <row r="19" customFormat="false" ht="15" hidden="false" customHeight="false" outlineLevel="0" collapsed="false">
      <c r="A19" s="13" t="s">
        <v>204</v>
      </c>
      <c r="B19" s="27" t="n">
        <f aca="false">Pessimista!BK13</f>
        <v>37.748240121116</v>
      </c>
      <c r="C19" s="27" t="n">
        <f aca="false">Realista!BK13</f>
        <v>578.608217785181</v>
      </c>
      <c r="D19" s="27" t="n">
        <f aca="false">Otimista!BK13</f>
        <v>4466.24075704695</v>
      </c>
    </row>
    <row r="20" customFormat="false" ht="15" hidden="false" customHeight="false" outlineLevel="0" collapsed="false">
      <c r="A20" s="13" t="s">
        <v>205</v>
      </c>
      <c r="B20" s="27" t="n">
        <f aca="false">Pessimista!BK14</f>
        <v>787.481474649057</v>
      </c>
      <c r="C20" s="27" t="n">
        <f aca="false">Realista!BK14</f>
        <v>6634.07207507518</v>
      </c>
      <c r="D20" s="27" t="n">
        <f aca="false">Otimista!BK14</f>
        <v>25283.7511306998</v>
      </c>
    </row>
    <row r="21" customFormat="false" ht="15" hidden="false" customHeight="false" outlineLevel="0" collapsed="false">
      <c r="A21" s="13" t="s">
        <v>206</v>
      </c>
      <c r="B21" s="32" t="str">
        <f aca="false">IFERROR(INDEX(Pessimista!D4:BK4,MATCH(TRUE(),INDEX(Pessimista!D35:BK35&gt;0,0),0)),"Nunca no período")</f>
        <v>Nunca no período</v>
      </c>
      <c r="C21" s="32" t="str">
        <f aca="false">IFERROR(INDEX(Realista!D4:BK4,MATCH(TRUE(),INDEX(Realista!D35:BK35&gt;0,0),0)),"Nunca no período")</f>
        <v>27</v>
      </c>
      <c r="D21" s="32" t="str">
        <f aca="false">IFERROR(INDEX(Otimista!D4:BK4,MATCH(TRUE(),INDEX(Otimista!D35:BK35&gt;0,0),0)),"Nunca no período")</f>
        <v>6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207</v>
      </c>
    </row>
    <row r="3" customFormat="false" ht="15" hidden="false" customHeight="false" outlineLevel="0" collapsed="false">
      <c r="A3" s="13" t="s">
        <v>208</v>
      </c>
    </row>
    <row r="4" customFormat="false" ht="60" hidden="false" customHeight="true" outlineLevel="0" collapsed="false">
      <c r="A4" s="4" t="s">
        <v>209</v>
      </c>
    </row>
    <row r="6" customFormat="false" ht="15" hidden="false" customHeight="false" outlineLevel="0" collapsed="false">
      <c r="A6" s="13" t="s">
        <v>210</v>
      </c>
    </row>
    <row r="7" customFormat="false" ht="75" hidden="false" customHeight="true" outlineLevel="0" collapsed="false">
      <c r="A7" s="4" t="s">
        <v>211</v>
      </c>
    </row>
    <row r="9" customFormat="false" ht="15" hidden="false" customHeight="false" outlineLevel="0" collapsed="false">
      <c r="A9" s="13" t="s">
        <v>212</v>
      </c>
    </row>
    <row r="10" customFormat="false" ht="75" hidden="false" customHeight="true" outlineLevel="0" collapsed="false">
      <c r="A10" s="4" t="s">
        <v>213</v>
      </c>
    </row>
    <row r="12" customFormat="false" ht="15" hidden="false" customHeight="false" outlineLevel="0" collapsed="false">
      <c r="A12" s="33" t="s">
        <v>214</v>
      </c>
    </row>
    <row r="13" customFormat="false" ht="90" hidden="false" customHeight="true" outlineLevel="0" collapsed="false">
      <c r="A13" s="4" t="s">
        <v>215</v>
      </c>
    </row>
    <row r="15" customFormat="false" ht="15" hidden="false" customHeight="false" outlineLevel="0" collapsed="false">
      <c r="A15" s="13" t="s">
        <v>216</v>
      </c>
    </row>
    <row r="16" customFormat="false" ht="135" hidden="false" customHeight="true" outlineLevel="0" collapsed="false">
      <c r="A16" s="4" t="s">
        <v>217</v>
      </c>
    </row>
    <row r="18" customFormat="false" ht="15" hidden="false" customHeight="false" outlineLevel="0" collapsed="false">
      <c r="A18" s="13" t="s">
        <v>218</v>
      </c>
    </row>
    <row r="19" customFormat="false" ht="45" hidden="false" customHeight="true" outlineLevel="0" collapsed="false">
      <c r="A19" s="4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220</v>
      </c>
    </row>
    <row r="2" customFormat="false" ht="32.8" hidden="false" customHeight="false" outlineLevel="0" collapsed="false">
      <c r="A2" s="2" t="s">
        <v>221</v>
      </c>
    </row>
    <row r="4" customFormat="false" ht="15" hidden="false" customHeight="false" outlineLevel="0" collapsed="false">
      <c r="A4" s="13" t="s">
        <v>222</v>
      </c>
    </row>
    <row r="5" customFormat="false" ht="75" hidden="false" customHeight="true" outlineLevel="0" collapsed="false">
      <c r="A5" s="4" t="s">
        <v>223</v>
      </c>
    </row>
    <row r="7" customFormat="false" ht="15" hidden="false" customHeight="false" outlineLevel="0" collapsed="false">
      <c r="A7" s="13" t="s">
        <v>224</v>
      </c>
    </row>
    <row r="8" customFormat="false" ht="105" hidden="false" customHeight="true" outlineLevel="0" collapsed="false">
      <c r="A8" s="4" t="s">
        <v>225</v>
      </c>
    </row>
    <row r="10" customFormat="false" ht="15" hidden="false" customHeight="false" outlineLevel="0" collapsed="false">
      <c r="A10" s="13" t="s">
        <v>226</v>
      </c>
    </row>
    <row r="11" customFormat="false" ht="90" hidden="false" customHeight="true" outlineLevel="0" collapsed="false">
      <c r="A11" s="4" t="s">
        <v>227</v>
      </c>
    </row>
    <row r="13" customFormat="false" ht="15" hidden="false" customHeight="false" outlineLevel="0" collapsed="false">
      <c r="A13" s="13" t="s">
        <v>228</v>
      </c>
    </row>
    <row r="14" customFormat="false" ht="105" hidden="false" customHeight="true" outlineLevel="0" collapsed="false">
      <c r="A14" s="4" t="s">
        <v>229</v>
      </c>
    </row>
    <row r="16" customFormat="false" ht="15" hidden="false" customHeight="false" outlineLevel="0" collapsed="false">
      <c r="A16" s="13" t="s">
        <v>230</v>
      </c>
    </row>
    <row r="17" customFormat="false" ht="120" hidden="false" customHeight="true" outlineLevel="0" collapsed="false">
      <c r="A17" s="4" t="s">
        <v>231</v>
      </c>
    </row>
    <row r="19" customFormat="false" ht="15" hidden="false" customHeight="false" outlineLevel="0" collapsed="false">
      <c r="A19" s="13" t="s">
        <v>232</v>
      </c>
    </row>
    <row r="20" customFormat="false" ht="120" hidden="false" customHeight="true" outlineLevel="0" collapsed="false">
      <c r="A20" s="4" t="s">
        <v>233</v>
      </c>
    </row>
    <row r="22" customFormat="false" ht="15" hidden="false" customHeight="false" outlineLevel="0" collapsed="false">
      <c r="A22" s="13" t="s">
        <v>234</v>
      </c>
    </row>
    <row r="23" customFormat="false" ht="75" hidden="false" customHeight="true" outlineLevel="0" collapsed="false">
      <c r="A23" s="4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2026-08-10T11:40:09Z</dcterms:created>
  <dc:creator>openpyxl</dc:creator>
  <dc:description/>
  <dc:language>pt-BR</dc:language>
  <cp:lastModifiedBy/>
  <dcterms:modified xsi:type="dcterms:W3CDTF">2026-08-10T11:40:09Z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