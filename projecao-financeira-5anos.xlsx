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ia-me" sheetId="1" state="visible" r:id="rId1"/>
    <sheet name="Premissas" sheetId="2" state="visible" r:id="rId2"/>
    <sheet name="Pessimista" sheetId="3" state="visible" r:id="rId3"/>
    <sheet name="Realista" sheetId="4" state="visible" r:id="rId4"/>
    <sheet name="Otimista" sheetId="5" state="visible" r:id="rId5"/>
    <sheet name="Resumo Anual" sheetId="6" state="visible" r:id="rId6"/>
    <sheet name="Comissionamento" sheetId="7" state="visible" r:id="rId7"/>
    <sheet name="Sugestões de Crescimento" sheetId="8" state="visible" r:id="rId8"/>
    <sheet name="Bootstrap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#,##0.00;\(#,##0.00\);\-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8000"/>
      <sz val="11"/>
    </font>
    <font>
      <name val="Arial"/>
      <charset val="1"/>
      <family val="0"/>
      <b val="1"/>
      <i val="1"/>
      <sz val="11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F8CBAD"/>
        <bgColor rgb="FFC6E0B4"/>
      </patternFill>
    </fill>
    <fill>
      <patternFill patternType="solid">
        <fgColor rgb="FFC6E0B4"/>
        <bgColor rgb="FFBDD7EE"/>
      </patternFill>
    </fill>
    <fill>
      <patternFill patternType="solid">
        <fgColor rgb="FFBDD7EE"/>
        <bgColor rgb="FFD9E1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5" fontId="9" fillId="4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5" fontId="9" fillId="4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34" min="1" max="1"/>
  </cols>
  <sheetData>
    <row r="1" ht="17.35" customHeight="1" s="35">
      <c r="A1" s="36" t="inlineStr">
        <is>
          <t>Projeção Financeira 5 Anos — Neural Day Trader</t>
        </is>
      </c>
    </row>
    <row r="2" ht="32.8" customHeight="1" s="35">
      <c r="A2" s="37" t="inlineStr">
        <is>
          <t>Reconstruída em 2026-08-10 a partir dos preços REAIS da landing page. Não existia arquivo rastreável anterior no repositório — a versão citada em PLANEJAMENTO-LANCAMENTO-NEURAL-DAY-TRADER.md era só um resumo em texto de uma sessão de planejamento (11/07/2026), nunca uma planilha auditável.</t>
        </is>
      </c>
    </row>
    <row r="4" ht="15" customHeight="1" s="35">
      <c r="A4" s="38" t="inlineStr">
        <is>
          <t>Como usar</t>
        </is>
      </c>
    </row>
    <row r="5" ht="27.75" customHeight="1" s="35">
      <c r="A5" s="39" t="inlineStr">
        <is>
          <t>Células em AZUL são premissas editáveis — mude-as na aba 'Premissas' e todo o resto recalcula.</t>
        </is>
      </c>
    </row>
    <row r="6" ht="15" customHeight="1" s="35">
      <c r="A6" s="39" t="inlineStr">
        <is>
          <t>Células em PRETO são fórmulas — não editar diretamente, elas recalculam sozinhas.</t>
        </is>
      </c>
    </row>
    <row r="7" ht="15" customHeight="1" s="35">
      <c r="A7" s="39" t="inlineStr">
        <is>
          <t>Células em VERDE são links pra outra aba (ex: Resumo Anual puxando das abas de cenário).</t>
        </is>
      </c>
    </row>
    <row r="8" ht="27.75" customHeight="1" s="35">
      <c r="A8" s="39" t="inlineStr">
        <is>
          <t>Fundo AMARELO marca a premissa mais sensível de cada bloco — a que mais muda o resultado se você testar cenários.</t>
        </is>
      </c>
    </row>
    <row r="9" ht="15" customHeight="1" s="35">
      <c r="A9" s="39" t="n"/>
    </row>
    <row r="10" ht="15" customHeight="1" s="35">
      <c r="A10" s="38" t="inlineStr">
        <is>
          <t>Estrutura do arquivo</t>
        </is>
      </c>
    </row>
    <row r="11" ht="15" customHeight="1" s="35">
      <c r="A11" s="39" t="inlineStr">
        <is>
          <t>• Premissas — todos os inputs dos 3 cenários lado a lado, com a fonte/base de cada número.</t>
        </is>
      </c>
    </row>
    <row r="12" ht="27.75" customHeight="1" s="35">
      <c r="A12" s="39" t="inlineStr">
        <is>
          <t>• Pessimista / Realista / Otimista — modelo mês a mês (mês 0 a mês 60 = 5 anos completos), 100% fórmula.</t>
        </is>
      </c>
    </row>
    <row r="13" ht="27.75" customHeight="1" s="35">
      <c r="A13" s="39" t="inlineStr">
        <is>
          <t>• Resumo Anual — os 3 cenários consolidados por Ano 1..5, lado a lado, pra comparação rápida.</t>
        </is>
      </c>
    </row>
    <row r="14" ht="27.75" customHeight="1" s="35">
      <c r="A14" s="39" t="inlineStr">
        <is>
          <t>• Comissionamento — proposta de modelo de comissão realinhada com prática de mercado (ver pergunta do Cleber).</t>
        </is>
      </c>
    </row>
    <row r="15" ht="27.75" customHeight="1" s="35">
      <c r="A15" s="39" t="inlineStr">
        <is>
          <t>• Sugestões de Crescimento — alavancas concretas discutidas pra crescimento exponencial e lucro.</t>
        </is>
      </c>
    </row>
    <row r="16" ht="15" customHeight="1" s="35">
      <c r="A16" s="39" t="n"/>
    </row>
    <row r="17" ht="27.75" customHeight="1" s="35">
      <c r="A17" s="38" t="inlineStr">
        <is>
          <t>O que é MEDIDO vs. o que é PREMISSA (regra do projeto: nunca fabricar dado como se fosse real)</t>
        </is>
      </c>
    </row>
    <row r="18" ht="27.75" customHeight="1" s="35">
      <c r="A18" s="39" t="inlineStr">
        <is>
          <t>MEDIDO — fato, não estimativa: os 4 preços de mensalidade (Starter R$0, Pro R$199, Institutional R$399, Syndicate sob medida) vêm direto de src/app/components/landing/translations.ts:106-132, o código que roda na landing page hoje. Não há preço público do Syndicate Core — não entra como receita recorrente no modelo, só é citado como oportunidade B2B avulsa na aba de sugestões.</t>
        </is>
      </c>
    </row>
    <row r="19" ht="27.75" customHeight="1" s="35">
      <c r="A19" s="39" t="inlineStr">
        <is>
          <t>PREMISSA — sem dado real ainda, produto não lançado publicamente: taxa de conversão Starter→Pago, churn mensal, crescimento de cadastros, lotes negociados por usuário, CAC, mix de tier. Todas em azul na aba Premissas, com a base de cada número (pesquisa anterior do projeto, benchmark público de mercado, ou julgamento explícito do modelo — nunca apresentadas como medidas).</t>
        </is>
      </c>
    </row>
    <row r="20" ht="15" customHeight="1" s="35">
      <c r="A20" s="39" t="n"/>
    </row>
    <row r="21" ht="15" customHeight="1" s="35">
      <c r="A21" s="38" t="inlineStr">
        <is>
          <t>Recalcule sempre que os preços da landing mudarem — troque só a aba Premissas, linhas 1-2.</t>
        </is>
      </c>
    </row>
    <row r="22" ht="27.75" customHeight="1" s="35">
      <c r="A22" s="38" t="inlineStr">
        <is>
          <t>Recalcule sempre que houver dado real de conversão/churn dos primeiros usuários pagantes — substitua a premissa por medição real assim que existir (mesma disciplina do resto do projeto: CostModel.ts recalibra assim que há execução real medida).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2" customWidth="1" style="34" min="1" max="1"/>
    <col width="15" customWidth="1" style="34" min="2" max="4"/>
    <col width="60" customWidth="1" style="34" min="5" max="5"/>
  </cols>
  <sheetData>
    <row r="1" ht="17.35" customHeight="1" s="35">
      <c r="A1" s="36" t="inlineStr">
        <is>
          <t>Premissas do Modelo Financeiro — 3 Cenários</t>
        </is>
      </c>
    </row>
    <row r="3" ht="15" customHeight="1" s="35">
      <c r="A3" s="40" t="inlineStr">
        <is>
          <t>Premissa</t>
        </is>
      </c>
      <c r="B3" s="40" t="inlineStr">
        <is>
          <t>Pessimista</t>
        </is>
      </c>
      <c r="C3" s="40" t="inlineStr">
        <is>
          <t>Realista</t>
        </is>
      </c>
      <c r="D3" s="40" t="inlineStr">
        <is>
          <t>Otimista</t>
        </is>
      </c>
      <c r="E3" s="40" t="inlineStr">
        <is>
          <t>Fonte / base do número</t>
        </is>
      </c>
      <c r="F3" s="34" t="inlineStr">
        <is>
          <t>Bootstrap (sem CAC pago)</t>
        </is>
      </c>
      <c r="G3" s="34" t="inlineStr">
        <is>
          <t>Fonte / base do número — Bootstrap (só onde difere do Realista)</t>
        </is>
      </c>
    </row>
    <row r="4" ht="15" customHeight="1" s="35">
      <c r="A4" s="41" t="inlineStr">
        <is>
          <t>── PREÇOS (medidos — landing page) ──</t>
        </is>
      </c>
      <c r="B4" s="42" t="n"/>
      <c r="C4" s="42" t="n"/>
      <c r="D4" s="42" t="n"/>
      <c r="E4" s="42" t="n"/>
    </row>
    <row r="5" ht="22.35" customHeight="1" s="35">
      <c r="A5" s="43" t="inlineStr">
        <is>
          <t>Preço mensalidade Node: Pro (R$/mês)</t>
        </is>
      </c>
      <c r="B5" s="44" t="n">
        <v>199</v>
      </c>
      <c r="C5" s="44" t="n">
        <v>199</v>
      </c>
      <c r="D5" s="44" t="n">
        <v>199</v>
      </c>
      <c r="E5" s="45" t="inlineStr">
        <is>
          <t>MEDIDO. translations.ts:114 — 'Node: Pro', price: 'R$199,00'. Igual nos 3 cenários (preço da landing não varia por cenário de crescimento).</t>
        </is>
      </c>
      <c r="F5" s="34" t="n">
        <v>199</v>
      </c>
    </row>
    <row r="6" ht="15" customHeight="1" s="35">
      <c r="A6" s="43" t="inlineStr">
        <is>
          <t>Preço mensalidade Node: Institutional (R$/mês)</t>
        </is>
      </c>
      <c r="B6" s="44" t="n">
        <v>399</v>
      </c>
      <c r="C6" s="44" t="n">
        <v>399</v>
      </c>
      <c r="D6" s="44" t="n">
        <v>399</v>
      </c>
      <c r="E6" s="45" t="inlineStr">
        <is>
          <t>MEDIDO. translations.ts:121 — 'Node: Institutional', price: 'R$399,00'.</t>
        </is>
      </c>
      <c r="F6" s="34" t="n">
        <v>399</v>
      </c>
    </row>
    <row r="8" ht="15" customHeight="1" s="35">
      <c r="A8" s="46" t="inlineStr">
        <is>
          <t>── FUNIL (premissa — sem dado real, produto não lançado) ──</t>
        </is>
      </c>
      <c r="B8" s="42" t="n"/>
      <c r="C8" s="42" t="n"/>
      <c r="D8" s="42" t="n"/>
      <c r="E8" s="42" t="n"/>
    </row>
    <row r="9" ht="32.8" customHeight="1" s="35">
      <c r="A9" s="43" t="inlineStr">
        <is>
          <t>Novos cadastros Starter no mês 1 (qtd)</t>
        </is>
      </c>
      <c r="B9" s="44" t="n">
        <v>40</v>
      </c>
      <c r="C9" s="44" t="n">
        <v>80</v>
      </c>
      <c r="D9" s="44" t="n">
        <v>150</v>
      </c>
      <c r="E9" s="45" t="inlineStr">
        <is>
          <t>PREMISSA. Ordem de grandeza herdada do plano de 11/07 (5-25 pess / 10-80 real / 25-200 otim novos usuários/mês), mas agora como TOPO de funil (cadastro grátis), não usuário pagante direto.</t>
        </is>
      </c>
      <c r="F9" s="34" t="n">
        <v>20</v>
      </c>
      <c r="G9" s="34" t="inlineStr">
        <is>
          <t>NOVO 2026-09-07. Sem CAC pago, o volume de cadastros vem só de orgânico/indicação — estimativa mais baixa que os outros cenários (que já assumem mídia paga desde o mês 1). PREMISSA/julgamento, não medição — produto não lançado.</t>
        </is>
      </c>
    </row>
    <row r="10" ht="53.7" customHeight="1" s="35">
      <c r="A10" s="47" t="inlineStr">
        <is>
          <t>Crescimento mensal de novos cadastros (%)</t>
        </is>
      </c>
      <c r="B10" s="48" t="n">
        <v>0.02</v>
      </c>
      <c r="C10" s="48" t="n">
        <v>0.045</v>
      </c>
      <c r="D10" s="48" t="n">
        <v>0.08</v>
      </c>
      <c r="E10" s="45" t="inlineStr">
        <is>
          <t>PREMISSA — decisão de modelagem p/ atender pedido de 'crescimento exponencial': crescimento composto mês a mês em vez do ritmo linear do plano de 11/07. 2%/mês pessimista a 8%/mês otimista são faixas típicas de SaaS em tração inicial via marketing de performance + comunidade — não é medição, é meta de modelagem.</t>
        </is>
      </c>
      <c r="F10" s="34" t="n">
        <v>0.03</v>
      </c>
      <c r="G10" s="34" t="inlineStr">
        <is>
          <t>NOVO 2026-09-07. Crescimento só por indicação/boca-a-boca tende a ser mais lento que o puxado por mídia paga — usado 3%/mês, entre o Pessimista (2%) e o Realista (4,5%) da mídia paga, sem dado real por trás.</t>
        </is>
      </c>
    </row>
    <row r="11" ht="85.05" customHeight="1" s="35">
      <c r="A11" s="47" t="inlineStr">
        <is>
          <t>Teto de novos cadastros/mês — saturação de mercado (qtd)</t>
        </is>
      </c>
      <c r="B11" s="49" t="n">
        <v>350</v>
      </c>
      <c r="C11" s="49" t="n">
        <v>900</v>
      </c>
      <c r="D11" s="49" t="n">
        <v>2200</v>
      </c>
      <c r="E11" s="45" t="inlineStr">
        <is>
          <t>⚠️ CORREÇÃO — sem este teto, 8%/mês composto por 60 meses (Otimista) gerava &gt;15.000 novos cadastros NO ÚLTIMO MÊS sozinho e R$217 milhões de faturamento em 5 anos — matematicamente correto, mas fora de qualquer mercado real pro nicho (trading de varejo automatizado no Brasil). PREMISSA de bom senso, não medição: ordem de grandeza de TAM plausível pro nicho, crescimento composto se aplica só até bater o teto, depois estabiliza. Recalibrar assim que houver dado real de mercado endereçável (tamanho da base de traders de varejo ativos no Brasil que operam MT5/CFD).</t>
        </is>
      </c>
      <c r="F11" s="34" t="n">
        <v>500</v>
      </c>
    </row>
    <row r="12" ht="105.95" customHeight="1" s="35">
      <c r="A12" s="47" t="inlineStr">
        <is>
          <t>Taxa de conversão Starter → Pago (%, defasagem de 2 meses)</t>
        </is>
      </c>
      <c r="B12" s="48" t="n">
        <v>0.03</v>
      </c>
      <c r="C12" s="48" t="n">
        <v>0.08</v>
      </c>
      <c r="D12" s="48" t="n">
        <v>0.11</v>
      </c>
      <c r="E12" s="45" t="inlineStr">
        <is>
          <t>PREMISSA. Benchmark de mercado p/ SaaS freemium com valor demonstrável rápido costuma ficar 2-5% (free→paid); o realista já usava o topo dessa faixa (Starter entrega sinal validado de verdade, não 'feature capada'). ⚠️ AJUSTADO 2026-08-10: Realista 6%→8% — acima do benchmark genérico de SaaS, assume gatilho de conversão orientado por produto (ver aba 'Sugestões de Crescimento' item 2: prompt no momento exato de dor — sinal que teria sido lucrativo mas não pôde executar automático), não só tempo de uso passivo. Requer instrumentar esse gatilho antes do lançamento pra sustentar — se não for construído, volte pra 6%. Pessimista mantido em 3% de propósito: representa o cenário sem esse gatilho funcionando.</t>
        </is>
      </c>
      <c r="F12" s="34" t="n">
        <v>0.08</v>
      </c>
    </row>
    <row r="13" ht="53.7" customHeight="1" s="35">
      <c r="A13" s="43" t="inlineStr">
        <is>
          <t>Mix Pro entre novos pagantes (%) [resto vai pra Institutional]</t>
        </is>
      </c>
      <c r="B13" s="50" t="n">
        <v>0.9</v>
      </c>
      <c r="C13" s="50" t="n">
        <v>0.75</v>
      </c>
      <c r="D13" s="50" t="n">
        <v>0.55</v>
      </c>
      <c r="E13" s="45" t="inlineStr">
        <is>
          <t>PREMISSA. Reaproveita o mix Pro/Institutional já usado na correção de 2026-08-10 do plano de 11/07 (PLANEJAMENTO-LANCAMENTO-NEURAL-DAY-TRADER.md §3.1) — Institutional tem selo 'Recommended' na landing, então a fração de Institutional cresce nos cenários mais otimistas de captação qualificada.</t>
        </is>
      </c>
      <c r="F13" s="34" t="n">
        <v>0.75</v>
      </c>
    </row>
    <row r="14" ht="32.8" customHeight="1" s="35">
      <c r="A14" s="43" t="inlineStr">
        <is>
          <t>Churn mensal Node: Starter — abandono do cadastro grátis (%)</t>
        </is>
      </c>
      <c r="B14" s="50" t="n">
        <v>0.15</v>
      </c>
      <c r="C14" s="50" t="n">
        <v>0.12</v>
      </c>
      <c r="D14" s="50" t="n">
        <v>0.09</v>
      </c>
      <c r="E14" s="45" t="inlineStr">
        <is>
          <t>PREMISSA. Free tier tem churn/abandono normalmente mais alto que tier pago (sem fricção de cancelamento, sem sunk cost) — faixa 9-15%/mês é conservadora pro setor de ferramentas de trading.</t>
        </is>
      </c>
      <c r="F14" s="34" t="n">
        <v>0.12</v>
      </c>
    </row>
    <row r="15" ht="43.25" customHeight="1" s="35">
      <c r="A15" s="43" t="inlineStr">
        <is>
          <t>Churn mensal Pago (Pro + Institutional) (%)</t>
        </is>
      </c>
      <c r="B15" s="50" t="n">
        <v>0.08</v>
      </c>
      <c r="C15" s="50" t="n">
        <v>0.06</v>
      </c>
      <c r="D15" s="50" t="n">
        <v>0.04</v>
      </c>
      <c r="E15" s="45" t="inlineStr">
        <is>
          <t>PREMISSA. Plano de 11/07 já assumia 8%/6%/4% pess/real/otim (mesma linha, mantida) — nota do próprio plano: 'pessimista honesto seria 12-15%/mês' pro varejo de trading em geral; mantemos a faixa original por ainda não termos dado de retenção real do produto pago.</t>
        </is>
      </c>
      <c r="F15" s="34" t="n">
        <v>0.06</v>
      </c>
    </row>
    <row r="17" ht="15" customHeight="1" s="35">
      <c r="A17" s="46" t="inlineStr">
        <is>
          <t>── VOLUME DE OPERAÇÃO (premissa) ──</t>
        </is>
      </c>
      <c r="B17" s="42" t="n"/>
      <c r="C17" s="42" t="n"/>
      <c r="D17" s="42" t="n"/>
      <c r="E17" s="42" t="n"/>
    </row>
    <row r="18" ht="43.25" customHeight="1" s="35">
      <c r="A18" s="43" t="inlineStr">
        <is>
          <t>Lotes negociados/mês por usuário Pago</t>
        </is>
      </c>
      <c r="B18" s="51" t="n">
        <v>2.5</v>
      </c>
      <c r="C18" s="51" t="n">
        <v>5</v>
      </c>
      <c r="D18" s="51" t="n">
        <v>8.5</v>
      </c>
      <c r="E18" s="45" t="inlineStr">
        <is>
          <t>PREMISSA. Sem dado de execução real ainda (o runner 24/7 está em telemetria, 0 trades reais até 08-10 — ver NEXT_SESSION.md). Ordem de grandeza de um trader ativo de varejo intraday/swing operando com disciplina (poucos lotes, não overtrading) — deliberadamente conservador.</t>
        </is>
      </c>
      <c r="F18" s="34" t="n">
        <v>5</v>
      </c>
    </row>
    <row r="19" ht="32.8" customHeight="1" s="35">
      <c r="A19" s="43" t="inlineStr">
        <is>
          <t>Lotes negociados/mês por usuário Starter (execução manual)</t>
        </is>
      </c>
      <c r="B19" s="51" t="n">
        <v>0.3</v>
      </c>
      <c r="C19" s="51" t="n">
        <v>0.7</v>
      </c>
      <c r="D19" s="51" t="n">
        <v>1.2</v>
      </c>
      <c r="E19" s="45" t="inlineStr">
        <is>
          <t>⚠️ REINTERPRETADO 2026-09-07: com a mudança de produto (Starter roda o motor autônomo até um limite de operações, depois corta — ver linhas 37-38), este número deixa de ser 'lotes/mês em uso contínuo' e passa a ser o TOTAL de lotes negociados durante a degustação inteira (evento único por cadastro novo, não recorrente todo mês). Valor mantido (0,3/0,7/1,2) por ser a mesma ordem de grandeza já estimada — ainda PREMISSA, sem medição real de quanto volume 10-30 operações reais geram em lotes.</t>
        </is>
      </c>
      <c r="F19" s="34" t="n">
        <v>0.7</v>
      </c>
    </row>
    <row r="21" ht="15" customHeight="1" s="35">
      <c r="A21" s="46" t="inlineStr">
        <is>
          <t>── COMISSÃO E REBATE (ver aba 'Comissionamento' p/ a proposta completa) ──</t>
        </is>
      </c>
      <c r="B21" s="42" t="n"/>
      <c r="C21" s="42" t="n"/>
      <c r="D21" s="42" t="n"/>
      <c r="E21" s="42" t="n"/>
    </row>
    <row r="22" ht="85.05" customHeight="1" s="35">
      <c r="A22" s="47" t="inlineStr">
        <is>
          <t>Comissão própria por lote — cobrada em TODOS os tiers (R$)</t>
        </is>
      </c>
      <c r="B22" s="52" t="n">
        <v>40</v>
      </c>
      <c r="C22" s="52" t="n">
        <v>40</v>
      </c>
      <c r="D22" s="52" t="n">
        <v>40</v>
      </c>
      <c r="E22" s="45" t="inlineStr">
        <is>
          <t>DECISÃO DE MODELO realinhada com mercado — ver aba Comissionamento. Cobrada sobre todo o volume operado, Starter + Pro + Institutional (decisão explícita do Cleber em 2026-08-10). ⚠️ AJUSTADO 2026-08-10 (2ª correção, mesma sessão): R$30→R$40/lote (≈US$8/lote) — ainda dentro do benchmark cTrader ECN (US$4-8/lote) citado no plano de 11/07, agora no teto da faixa em vez do meio, como parte do pacote de alavancas pra alcançar lucro no Ano 1 (pedido do Cleber — ver aba Comissionamento §'Plano de lucro Ano 1'). Igual nos 3 cenários — é política de preço.</t>
        </is>
      </c>
      <c r="F22" s="34" t="n">
        <v>40</v>
      </c>
    </row>
    <row r="23" ht="85.05" customHeight="1" s="35">
      <c r="A23" s="43" t="inlineStr">
        <is>
          <t>Rebate IB por lote — já convertido em R$ (R$/lote)</t>
        </is>
      </c>
      <c r="B23" s="51" t="n">
        <v>25</v>
      </c>
      <c r="C23" s="51" t="n">
        <v>35</v>
      </c>
      <c r="D23" s="51" t="n">
        <v>45</v>
      </c>
      <c r="E23" s="45" t="inlineStr">
        <is>
          <t>PREMISSA ancorada em research anterior do projeto (PLANEJAMENTO-LANCAMENTO §3: rebate IB US$4/6/8 por lote, INFINOX Partners paga até US$20/lote) convertido a ~R$5,05/US$1. ⚠️ AJUSTADO 2026-08-10: +R$10/lote em cada cenário (R$15/25/35 → R$25/35/45) — assume negociação de rebate mais agressiva com a corretora desde o lançamento (ainda abaixo do teto de US$20/lote que a Infinox Partners paga pra parceiros com volume) — parte do pacote pra lucro no Ano 1. Requer negociação real com a corretora antes do lançamento, não é automático.</t>
        </is>
      </c>
      <c r="F23" s="34" t="n">
        <v>35</v>
      </c>
    </row>
    <row r="24" ht="43.25" customHeight="1" s="35">
      <c r="A24" s="43" t="inlineStr">
        <is>
          <t>Receita marketplace líquida por usuário Pago/mês (R$)</t>
        </is>
      </c>
      <c r="B24" s="51" t="n">
        <v>3.5</v>
      </c>
      <c r="C24" s="51" t="n">
        <v>7.5</v>
      </c>
      <c r="D24" s="51" t="n">
        <v>13</v>
      </c>
      <c r="E24" s="45" t="inlineStr">
        <is>
          <t>PREMISSA. Mesma base do plano de 11/07 (US$0,50-2,00 líquido/usuário/mês, MQL5 retém ~25%), convertida a R$ e só aplicada sobre usuários pagantes (Starter não tem acesso ao catálogo completo — translations.ts:110 vs 124).</t>
        </is>
      </c>
      <c r="F24" s="34" t="n">
        <v>7.5</v>
      </c>
    </row>
    <row r="26" ht="15" customHeight="1" s="35">
      <c r="A26" s="46" t="inlineStr">
        <is>
          <t>── CUSTOS (premissa/orçamento) ──</t>
        </is>
      </c>
      <c r="B26" s="42" t="n"/>
      <c r="C26" s="42" t="n"/>
      <c r="D26" s="42" t="n"/>
      <c r="E26" s="42" t="n"/>
    </row>
    <row r="27" ht="105.95" customHeight="1" s="35">
      <c r="A27" s="47" t="inlineStr">
        <is>
          <t>CAC — custo de aquisição por novo cadastro (R$)</t>
        </is>
      </c>
      <c r="B27" s="49" t="n">
        <v>90</v>
      </c>
      <c r="C27" s="49" t="n">
        <v>110</v>
      </c>
      <c r="D27" s="49" t="n">
        <v>130</v>
      </c>
      <c r="E27" s="45" t="inlineStr">
        <is>
          <t>PREMISSA. Plano de 11/07 §4 furo #2 já alertava 'aquisição em trading de varejo custa R$100-400/usuário' — aplicado sobre CADASTROS (topo de funil), não só pagantes, porque o CAC é pago no clique/lead, converta ou não. ⚠️ AJUSTADO 2026-08-10: R$180/220/260 → R$90/110/130 (metade) — CAC era o maior custo isolado do Ano 1 (46% das despesas no cenário Realista original). A redução assume migrar aquisição de mídia paga pura pra um mix mais barato: comunidade/conteúdo educacional + programa de indicação entre usuários pagantes (ver aba 'Sugestões de Crescimento', item 5) — EXECUÇÃO REAL necessária pra sustentar esse número, não acontece sozinho. Se a aquisição ficar só em mídia paga, volte pro valor original (R$180-260).</t>
        </is>
      </c>
      <c r="F27" s="34" t="n">
        <v>0</v>
      </c>
      <c r="G27" s="34" t="inlineStr">
        <is>
          <t>NOVO 2026-09-07, decisão do Cleber: cenário hipotético onde a plataforma cresce só por orgânico/indicação, sem gastar em aquisição paga — é o corte que mais reduz a despesa do mês 1 (CAC sozinho era ~45% da despesa do mês 1 no Realista).</t>
        </is>
      </c>
    </row>
    <row r="28" ht="32.8" customHeight="1" s="35">
      <c r="A28" s="43" t="inlineStr">
        <is>
          <t>Custo de infraestrutura por usuário ativo total/mês (R$)</t>
        </is>
      </c>
      <c r="B28" s="51" t="n">
        <v>80</v>
      </c>
      <c r="C28" s="51" t="n">
        <v>70</v>
      </c>
      <c r="D28" s="51" t="n">
        <v>45</v>
      </c>
      <c r="E28" s="45" t="inlineStr">
        <is>
          <t>⚠️ SUPERADO 2026-09-07 pelo modelo em degrau (linhas 35-36 abaixo) — as fórmulas das abas de cenário (linha 27) NÃO usam mais este valor, foram reescritas pra CEILING(usuários pagantes / capacidade por GPU) × custo por GPU, que reflete economia de escala de verdade mês a mês. Este número (R$80/70/45) fica só como MÉDIA DE REFERÊNCIA — útil pra conversa rápida ('quanto custa por usuário, em média'), não é mais o que o modelo calcula.</t>
        </is>
      </c>
    </row>
    <row r="29" ht="64.15000000000001" customHeight="1" s="35">
      <c r="A29" s="43" t="inlineStr">
        <is>
          <t>Pagantes por funcionário adicional (degrau de equipe)</t>
        </is>
      </c>
      <c r="B29" s="44" t="n">
        <v>700</v>
      </c>
      <c r="C29" s="44" t="n">
        <v>600</v>
      </c>
      <c r="D29" s="44" t="n">
        <v>450</v>
      </c>
      <c r="E29" s="45" t="inlineStr">
        <is>
          <t>PREMISSA. Plano de 11/07 §4 furo #2: '~1 pessoa por 300-500 usuários'. ⚠️ AJUSTADO 2026-08-10: degrau esticado (500/400/300 → 700/600/450) — atrasa a 1ª contratação além do fundador pra reduzir custo fixo no Ano 1, assumindo que suporte/onboarding inicial é feito pelo próprio Cleber até a base pagante justificar contratação. Recalibrar assim que a carga de suporte real exigir.</t>
        </is>
      </c>
      <c r="F29" s="34" t="n">
        <v>5000</v>
      </c>
      <c r="G29" s="34" t="inlineStr">
        <is>
          <t>NOVO 2026-09-07: linha 29 (pagantes por funcionário) fica sem efeito prático neste cenário porque a fórmula de custo de equipe usa ROUNDUP — qualquer pagante &gt; 0 já arredonda pra 1 funcionário inteiro, não importa o divisor. O corte de verdade está na linha 30 (custo por funcionário = R$0 neste cenário).</t>
        </is>
      </c>
    </row>
    <row r="30" ht="32.8" customHeight="1" s="35">
      <c r="A30" s="43" t="inlineStr">
        <is>
          <t>Custo mensal por funcionário (R$, CLT completo)</t>
        </is>
      </c>
      <c r="B30" s="44" t="n">
        <v>9000</v>
      </c>
      <c r="C30" s="44" t="n">
        <v>9000</v>
      </c>
      <c r="D30" s="44" t="n">
        <v>9000</v>
      </c>
      <c r="E30" s="45" t="inlineStr">
        <is>
          <t>PREMISSA — salário + encargos de um perfil suporte/CS júnior-pleno em SP, não pesquisado neste modelo (igual nos 3 cenários). Recalibrar com RH real antes de contratar.</t>
        </is>
      </c>
      <c r="F30" s="34" t="n">
        <v>0</v>
      </c>
      <c r="G30" t="inlineStr">
        <is>
          <t>NOVO 2026-09-07, a pedido do Cleber: cenário Bootstrap assume ele mesmo operando suporte/onboarding sem contratar (mesma premissa já registrada no texto original: 'suporte/onboarding inicial é feito pelo próprio Cleber até a base pagante justificar contratação'). Zerado pra refletir isso de fato nos 12 meses simulados — reavaliar quando a base pagante crescer o suficiente pra justificar a 1ª contratação de verdade.</t>
        </is>
      </c>
    </row>
    <row r="31" ht="64.15000000000001" customHeight="1" s="35">
      <c r="A31" s="43" t="inlineStr">
        <is>
          <t>Custos fixos administrativos mensais (R$) — contador, ferramentas, jurídico recorrente</t>
        </is>
      </c>
      <c r="B31" s="44" t="n">
        <v>2000</v>
      </c>
      <c r="C31" s="44" t="n">
        <v>3000</v>
      </c>
      <c r="D31" s="44" t="n">
        <v>4000</v>
      </c>
      <c r="E31" s="45" t="inlineStr">
        <is>
          <t>PREMISSA ancorada no plano de 11/07 §1: 'Jurídico/contador R$3.000-6.000/ano recorrente' + parte do bloco de Segurança recorrente (R$0-1.200). ⚠️ AJUSTADO 2026-08-10: R$3.000/4.500/6.000 → R$2.000/3.000/4.000 — lançamento mais enxuto (contador simples + ferramentas essenciais, adiar gasto discricionário até o caixa permitir), parte do pacote de lucro no Ano 1.</t>
        </is>
      </c>
      <c r="F31" s="34" t="n">
        <v>3000</v>
      </c>
    </row>
    <row r="32" ht="43.25" customHeight="1" s="35">
      <c r="A32" s="43" t="inlineStr">
        <is>
          <t>Alíquota efetiva de imposto sobre faturamento — Simples Nacional (%)</t>
        </is>
      </c>
      <c r="B32" s="50" t="n">
        <v>0.07000000000000001</v>
      </c>
      <c r="C32" s="50" t="n">
        <v>0.1</v>
      </c>
      <c r="D32" s="50" t="n">
        <v>0.135</v>
      </c>
      <c r="E32" s="45" t="inlineStr">
        <is>
          <t>PREMISSA ancorada no plano de 11/07 §4 furo #1: 'Simples ~6-15,5% do faturamento' — usamos o ponto baixo da faixa pro cenário de menor faturamento (Simples é progressivo por faixa de receita) e o ponto alto pro cenário de maior faturamento.</t>
        </is>
      </c>
      <c r="F32" s="34" t="n">
        <v>0.1</v>
      </c>
    </row>
    <row r="33" ht="32.8" customHeight="1" s="35">
      <c r="A33" s="43" t="inlineStr">
        <is>
          <t>Investimento inicial de lançamento (R$, saída no Mês 0)</t>
        </is>
      </c>
      <c r="B33" s="44" t="n">
        <v>-21000</v>
      </c>
      <c r="C33" s="44" t="n">
        <v>-21000</v>
      </c>
      <c r="D33" s="44" t="n">
        <v>-21000</v>
      </c>
      <c r="E33" s="45" t="inlineStr">
        <is>
          <t>MEDIDO/citado no plano de 11/07 §1: 'Cenário enxuto (piloto controlado): ~R$21 mil'. Igual nos 3 cenários — o custo de lançar não muda com o cenário de tração pós-lançamento.</t>
        </is>
      </c>
      <c r="F33" s="34" t="n">
        <v>-21000</v>
      </c>
    </row>
    <row r="35">
      <c r="A35" s="34" t="inlineStr">
        <is>
          <t>Custo mensal por GPU dedicada — serving com vLLM/batching (R$)</t>
        </is>
      </c>
      <c r="B35" s="34" t="n">
        <v>7400</v>
      </c>
      <c r="C35" s="34" t="n">
        <v>7400</v>
      </c>
      <c r="D35" s="34" t="n">
        <v>7400</v>
      </c>
      <c r="E35" s="34" t="inlineStr">
        <is>
          <t>REVISADO 2026-09-07. Base: aluguel de GPU A100 80GB em nuvem (RunPod/Lambda/CoreWeave, pesquisado ao vivo em 2026-09) ~US$1.400-1.500/mês rodando 24/7, convertido a ~R$5,12/USD (cotação de 2026-09-07) e arredondado. Escolha de GPU única (A100) em vez de opção mais barata pra manter margem de confiabilidade/redundância consistente nos 3 cenários — não varia por cenário porque é decisão de infraestrutura, não de crescimento de usuários.</t>
        </is>
      </c>
      <c r="F35" s="34" t="n">
        <v>7400</v>
      </c>
    </row>
    <row r="36">
      <c r="A36" s="34" t="inlineStr">
        <is>
          <t>Capacidade de usuários pagantes simultâneos por GPU (qtd)</t>
        </is>
      </c>
      <c r="B36" s="34" t="n">
        <v>150</v>
      </c>
      <c r="C36" s="34" t="n">
        <v>150</v>
      </c>
      <c r="D36" s="34" t="n">
        <v>150</v>
      </c>
      <c r="E36" s="34" t="inlineStr">
        <is>
          <t>REVISADO 2026-09-07. Baseado em throughput real medido do motor (vLLM com modelo 4-8B faria ~2.500 tokens/seg numa A100; carga medida de 30 usuários no cadência AGRESSIVA da cesta atual usa só ~15% dessa capacidade, 100 usuários ~50%). 150 é um teto conservador com folga de sobra pra picos de mercado — não é o limite físico da GPU (que seria mais alto), é uma escolha deliberadamente cautelosa antes de operar perto do limite real com dinheiro de cliente.</t>
        </is>
      </c>
      <c r="F36" s="34" t="n">
        <v>150</v>
      </c>
    </row>
    <row r="37">
      <c r="A37" s="34" t="inlineStr">
        <is>
          <t>Operações grátis do Starter antes de cortar (qtd)</t>
        </is>
      </c>
      <c r="B37" s="34" t="n">
        <v>30</v>
      </c>
      <c r="C37" s="34" t="n">
        <v>30</v>
      </c>
      <c r="D37" s="34" t="n">
        <v>30</v>
      </c>
      <c r="E37" s="34" t="inlineStr">
        <is>
          <t>NOVO 2026-09-07, decisão de produto do Cleber: Starter passa a rodar o motor autônomo de verdade (não só alerta manual) até completar este número de operações, depois corta — 'dar o gostinho' antes de exigir upgrade. Cleber considerou a faixa 10-30 e decidiu 30. Mesmo valor nos 3 cenários (é decisão de produto, não premissa de mercado).</t>
        </is>
      </c>
      <c r="F37" s="34" t="n">
        <v>30</v>
      </c>
    </row>
    <row r="38">
      <c r="A38" s="34" t="inlineStr">
        <is>
          <t>Duração média da degustação Starter até bater o limite (dias)</t>
        </is>
      </c>
      <c r="B38" s="34" t="n">
        <v>2</v>
      </c>
      <c r="C38" s="34" t="n">
        <v>2</v>
      </c>
      <c r="D38" s="34" t="n">
        <v>2</v>
      </c>
      <c r="E38" s="34" t="inlineStr">
        <is>
          <t>NOVO 2026-09-07. Estimativa do Cleber ('isso dá uns 2 dias de operação') baseada na cadência AGRESSIVA observada ao vivo no motor hoje. Usado só pra estimar a CARGA DE GPU da degustação (fração de um usuário-mês: 2/30 ≈ 6,7%), não define prazo de validade da conta Starter em si.</t>
        </is>
      </c>
      <c r="F38" s="34" t="n">
        <v>2</v>
      </c>
    </row>
    <row r="39">
      <c r="A39" s="34" t="inlineStr">
        <is>
          <t>Custo variável de infra via API por token, por usuário-mês equivalente (R$)</t>
        </is>
      </c>
      <c r="F39" s="34" t="n">
        <v>292</v>
      </c>
      <c r="G39" s="34" t="inlineStr">
        <is>
          <t>NOVO 2026-09-07. Base: pesquisa ao vivo de preço Groq/Nemotron (~US$1,90-2,10/usuário/dia sem cache de prompt, ver investigação de custo de 100 usuários desta sessão) × 30 dias × R$5,12/USD (cotação 2026-09-07) ≈ R$292/usuário-mês. Cruzamento com GPU dedicada (R$7.400/mês ÷ R$292 ≈ 25,3 usuários): abaixo de ~25 usuários-equivalentes, API paga sai mais barata que uma GPU ociosa; acima disso, GPU dedicada vence. O cenário Bootstrap usa o menor custo dos dois a cada mês (MIN), trocando de API pra GPU automaticamente quando a escala justificar.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K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6" customWidth="1" style="34" min="1" max="1"/>
    <col width="8" customWidth="1" style="34" min="2" max="2"/>
    <col width="11" customWidth="1" style="34" min="3" max="63"/>
  </cols>
  <sheetData>
    <row r="1" ht="17.35" customHeight="1" s="35">
      <c r="A1" s="36" t="inlineStr">
        <is>
          <t>Cenário Pessimista — Projeção Mês a Mês (Lançamento + 60 meses = 5 anos)</t>
        </is>
      </c>
    </row>
    <row r="2" ht="15" customHeight="1" s="35">
      <c r="A2" s="53" t="inlineStr">
        <is>
          <t>Todas as células desta aba são fórmula. Premissas (azul) ficam só na aba 'Premissas'.</t>
        </is>
      </c>
    </row>
    <row r="3" ht="26.85" customHeight="1" s="35">
      <c r="A3" s="54" t="inlineStr">
        <is>
          <t>Métrica</t>
        </is>
      </c>
      <c r="B3" s="54" t="inlineStr">
        <is>
          <t>Unid.</t>
        </is>
      </c>
      <c r="C3" s="54" t="inlineStr">
        <is>
          <t>Lança-
mento</t>
        </is>
      </c>
      <c r="D3" s="54" t="inlineStr">
        <is>
          <t>Ano 1</t>
        </is>
      </c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6" t="n"/>
      <c r="P3" s="54" t="inlineStr">
        <is>
          <t>Ano 2</t>
        </is>
      </c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  <c r="Z3" s="55" t="n"/>
      <c r="AA3" s="56" t="n"/>
      <c r="AB3" s="54" t="inlineStr">
        <is>
          <t>Ano 3</t>
        </is>
      </c>
      <c r="AC3" s="55" t="n"/>
      <c r="AD3" s="55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6" t="n"/>
      <c r="AN3" s="54" t="inlineStr">
        <is>
          <t>Ano 4</t>
        </is>
      </c>
      <c r="AO3" s="55" t="n"/>
      <c r="AP3" s="55" t="n"/>
      <c r="AQ3" s="55" t="n"/>
      <c r="AR3" s="55" t="n"/>
      <c r="AS3" s="55" t="n"/>
      <c r="AT3" s="55" t="n"/>
      <c r="AU3" s="55" t="n"/>
      <c r="AV3" s="55" t="n"/>
      <c r="AW3" s="55" t="n"/>
      <c r="AX3" s="55" t="n"/>
      <c r="AY3" s="56" t="n"/>
      <c r="AZ3" s="54" t="inlineStr">
        <is>
          <t>Ano 5</t>
        </is>
      </c>
      <c r="BA3" s="55" t="n"/>
      <c r="BB3" s="55" t="n"/>
      <c r="BC3" s="55" t="n"/>
      <c r="BD3" s="55" t="n"/>
      <c r="BE3" s="55" t="n"/>
      <c r="BF3" s="55" t="n"/>
      <c r="BG3" s="55" t="n"/>
      <c r="BH3" s="55" t="n"/>
      <c r="BI3" s="55" t="n"/>
      <c r="BJ3" s="55" t="n"/>
      <c r="BK3" s="56" t="n"/>
    </row>
    <row r="4" ht="15" customHeight="1" s="35">
      <c r="A4" s="41" t="inlineStr">
        <is>
          <t>── FUNIL DE USUÁRIOS ──</t>
        </is>
      </c>
      <c r="B4" s="57" t="n"/>
      <c r="C4" s="57" t="inlineStr">
        <is>
          <t>0</t>
        </is>
      </c>
      <c r="D4" s="57" t="inlineStr">
        <is>
          <t>1</t>
        </is>
      </c>
      <c r="E4" s="57" t="inlineStr">
        <is>
          <t>2</t>
        </is>
      </c>
      <c r="F4" s="57" t="inlineStr">
        <is>
          <t>3</t>
        </is>
      </c>
      <c r="G4" s="57" t="inlineStr">
        <is>
          <t>4</t>
        </is>
      </c>
      <c r="H4" s="57" t="inlineStr">
        <is>
          <t>5</t>
        </is>
      </c>
      <c r="I4" s="57" t="inlineStr">
        <is>
          <t>6</t>
        </is>
      </c>
      <c r="J4" s="57" t="inlineStr">
        <is>
          <t>7</t>
        </is>
      </c>
      <c r="K4" s="57" t="inlineStr">
        <is>
          <t>8</t>
        </is>
      </c>
      <c r="L4" s="57" t="inlineStr">
        <is>
          <t>9</t>
        </is>
      </c>
      <c r="M4" s="57" t="inlineStr">
        <is>
          <t>10</t>
        </is>
      </c>
      <c r="N4" s="57" t="inlineStr">
        <is>
          <t>11</t>
        </is>
      </c>
      <c r="O4" s="57" t="inlineStr">
        <is>
          <t>12</t>
        </is>
      </c>
      <c r="P4" s="57" t="inlineStr">
        <is>
          <t>13</t>
        </is>
      </c>
      <c r="Q4" s="57" t="inlineStr">
        <is>
          <t>14</t>
        </is>
      </c>
      <c r="R4" s="57" t="inlineStr">
        <is>
          <t>15</t>
        </is>
      </c>
      <c r="S4" s="57" t="inlineStr">
        <is>
          <t>16</t>
        </is>
      </c>
      <c r="T4" s="57" t="inlineStr">
        <is>
          <t>17</t>
        </is>
      </c>
      <c r="U4" s="57" t="inlineStr">
        <is>
          <t>18</t>
        </is>
      </c>
      <c r="V4" s="57" t="inlineStr">
        <is>
          <t>19</t>
        </is>
      </c>
      <c r="W4" s="57" t="inlineStr">
        <is>
          <t>20</t>
        </is>
      </c>
      <c r="X4" s="57" t="inlineStr">
        <is>
          <t>21</t>
        </is>
      </c>
      <c r="Y4" s="57" t="inlineStr">
        <is>
          <t>22</t>
        </is>
      </c>
      <c r="Z4" s="57" t="inlineStr">
        <is>
          <t>23</t>
        </is>
      </c>
      <c r="AA4" s="57" t="inlineStr">
        <is>
          <t>24</t>
        </is>
      </c>
      <c r="AB4" s="57" t="inlineStr">
        <is>
          <t>25</t>
        </is>
      </c>
      <c r="AC4" s="57" t="inlineStr">
        <is>
          <t>26</t>
        </is>
      </c>
      <c r="AD4" s="57" t="inlineStr">
        <is>
          <t>27</t>
        </is>
      </c>
      <c r="AE4" s="57" t="inlineStr">
        <is>
          <t>28</t>
        </is>
      </c>
      <c r="AF4" s="57" t="inlineStr">
        <is>
          <t>29</t>
        </is>
      </c>
      <c r="AG4" s="57" t="inlineStr">
        <is>
          <t>30</t>
        </is>
      </c>
      <c r="AH4" s="57" t="inlineStr">
        <is>
          <t>31</t>
        </is>
      </c>
      <c r="AI4" s="57" t="inlineStr">
        <is>
          <t>32</t>
        </is>
      </c>
      <c r="AJ4" s="57" t="inlineStr">
        <is>
          <t>33</t>
        </is>
      </c>
      <c r="AK4" s="57" t="inlineStr">
        <is>
          <t>34</t>
        </is>
      </c>
      <c r="AL4" s="57" t="inlineStr">
        <is>
          <t>35</t>
        </is>
      </c>
      <c r="AM4" s="57" t="inlineStr">
        <is>
          <t>36</t>
        </is>
      </c>
      <c r="AN4" s="57" t="inlineStr">
        <is>
          <t>37</t>
        </is>
      </c>
      <c r="AO4" s="57" t="inlineStr">
        <is>
          <t>38</t>
        </is>
      </c>
      <c r="AP4" s="57" t="inlineStr">
        <is>
          <t>39</t>
        </is>
      </c>
      <c r="AQ4" s="57" t="inlineStr">
        <is>
          <t>40</t>
        </is>
      </c>
      <c r="AR4" s="57" t="inlineStr">
        <is>
          <t>41</t>
        </is>
      </c>
      <c r="AS4" s="57" t="inlineStr">
        <is>
          <t>42</t>
        </is>
      </c>
      <c r="AT4" s="57" t="inlineStr">
        <is>
          <t>43</t>
        </is>
      </c>
      <c r="AU4" s="57" t="inlineStr">
        <is>
          <t>44</t>
        </is>
      </c>
      <c r="AV4" s="57" t="inlineStr">
        <is>
          <t>45</t>
        </is>
      </c>
      <c r="AW4" s="57" t="inlineStr">
        <is>
          <t>46</t>
        </is>
      </c>
      <c r="AX4" s="57" t="inlineStr">
        <is>
          <t>47</t>
        </is>
      </c>
      <c r="AY4" s="57" t="inlineStr">
        <is>
          <t>48</t>
        </is>
      </c>
      <c r="AZ4" s="57" t="inlineStr">
        <is>
          <t>49</t>
        </is>
      </c>
      <c r="BA4" s="57" t="inlineStr">
        <is>
          <t>50</t>
        </is>
      </c>
      <c r="BB4" s="57" t="inlineStr">
        <is>
          <t>51</t>
        </is>
      </c>
      <c r="BC4" s="57" t="inlineStr">
        <is>
          <t>52</t>
        </is>
      </c>
      <c r="BD4" s="57" t="inlineStr">
        <is>
          <t>53</t>
        </is>
      </c>
      <c r="BE4" s="57" t="inlineStr">
        <is>
          <t>54</t>
        </is>
      </c>
      <c r="BF4" s="57" t="inlineStr">
        <is>
          <t>55</t>
        </is>
      </c>
      <c r="BG4" s="57" t="inlineStr">
        <is>
          <t>56</t>
        </is>
      </c>
      <c r="BH4" s="57" t="inlineStr">
        <is>
          <t>57</t>
        </is>
      </c>
      <c r="BI4" s="57" t="inlineStr">
        <is>
          <t>58</t>
        </is>
      </c>
      <c r="BJ4" s="57" t="inlineStr">
        <is>
          <t>59</t>
        </is>
      </c>
      <c r="BK4" s="57" t="inlineStr">
        <is>
          <t>60</t>
        </is>
      </c>
    </row>
    <row r="6" ht="15" customHeight="1" s="35">
      <c r="A6" s="43" t="inlineStr">
        <is>
          <t>Novos cadastros Node: Starter (qtd)</t>
        </is>
      </c>
      <c r="B6" s="53" t="inlineStr">
        <is>
          <t>qtd</t>
        </is>
      </c>
      <c r="C6" s="58" t="n">
        <v>0</v>
      </c>
      <c r="D6" s="58">
        <f>MIN(Premissas!$B$9,Premissas!$B$11)</f>
        <v/>
      </c>
      <c r="E6" s="58">
        <f>MIN(D6*(1+Premissas!$B$10),Premissas!$B$11)</f>
        <v/>
      </c>
      <c r="F6" s="58">
        <f>MIN(E6*(1+Premissas!$B$10),Premissas!$B$11)</f>
        <v/>
      </c>
      <c r="G6" s="58">
        <f>MIN(F6*(1+Premissas!$B$10),Premissas!$B$11)</f>
        <v/>
      </c>
      <c r="H6" s="58">
        <f>MIN(G6*(1+Premissas!$B$10),Premissas!$B$11)</f>
        <v/>
      </c>
      <c r="I6" s="58">
        <f>MIN(H6*(1+Premissas!$B$10),Premissas!$B$11)</f>
        <v/>
      </c>
      <c r="J6" s="58">
        <f>MIN(I6*(1+Premissas!$B$10),Premissas!$B$11)</f>
        <v/>
      </c>
      <c r="K6" s="58">
        <f>MIN(J6*(1+Premissas!$B$10),Premissas!$B$11)</f>
        <v/>
      </c>
      <c r="L6" s="58">
        <f>MIN(K6*(1+Premissas!$B$10),Premissas!$B$11)</f>
        <v/>
      </c>
      <c r="M6" s="58">
        <f>MIN(L6*(1+Premissas!$B$10),Premissas!$B$11)</f>
        <v/>
      </c>
      <c r="N6" s="58">
        <f>MIN(M6*(1+Premissas!$B$10),Premissas!$B$11)</f>
        <v/>
      </c>
      <c r="O6" s="58">
        <f>MIN(N6*(1+Premissas!$B$10),Premissas!$B$11)</f>
        <v/>
      </c>
      <c r="P6" s="58">
        <f>MIN(O6*(1+Premissas!$B$10),Premissas!$B$11)</f>
        <v/>
      </c>
      <c r="Q6" s="58">
        <f>MIN(P6*(1+Premissas!$B$10),Premissas!$B$11)</f>
        <v/>
      </c>
      <c r="R6" s="58">
        <f>MIN(Q6*(1+Premissas!$B$10),Premissas!$B$11)</f>
        <v/>
      </c>
      <c r="S6" s="58">
        <f>MIN(R6*(1+Premissas!$B$10),Premissas!$B$11)</f>
        <v/>
      </c>
      <c r="T6" s="58">
        <f>MIN(S6*(1+Premissas!$B$10),Premissas!$B$11)</f>
        <v/>
      </c>
      <c r="U6" s="58">
        <f>MIN(T6*(1+Premissas!$B$10),Premissas!$B$11)</f>
        <v/>
      </c>
      <c r="V6" s="58">
        <f>MIN(U6*(1+Premissas!$B$10),Premissas!$B$11)</f>
        <v/>
      </c>
      <c r="W6" s="58">
        <f>MIN(V6*(1+Premissas!$B$10),Premissas!$B$11)</f>
        <v/>
      </c>
      <c r="X6" s="58">
        <f>MIN(W6*(1+Premissas!$B$10),Premissas!$B$11)</f>
        <v/>
      </c>
      <c r="Y6" s="58">
        <f>MIN(X6*(1+Premissas!$B$10),Premissas!$B$11)</f>
        <v/>
      </c>
      <c r="Z6" s="58">
        <f>MIN(Y6*(1+Premissas!$B$10),Premissas!$B$11)</f>
        <v/>
      </c>
      <c r="AA6" s="58">
        <f>MIN(Z6*(1+Premissas!$B$10),Premissas!$B$11)</f>
        <v/>
      </c>
      <c r="AB6" s="58">
        <f>MIN(AA6*(1+Premissas!$B$10),Premissas!$B$11)</f>
        <v/>
      </c>
      <c r="AC6" s="58">
        <f>MIN(AB6*(1+Premissas!$B$10),Premissas!$B$11)</f>
        <v/>
      </c>
      <c r="AD6" s="58">
        <f>MIN(AC6*(1+Premissas!$B$10),Premissas!$B$11)</f>
        <v/>
      </c>
      <c r="AE6" s="58">
        <f>MIN(AD6*(1+Premissas!$B$10),Premissas!$B$11)</f>
        <v/>
      </c>
      <c r="AF6" s="58">
        <f>MIN(AE6*(1+Premissas!$B$10),Premissas!$B$11)</f>
        <v/>
      </c>
      <c r="AG6" s="58">
        <f>MIN(AF6*(1+Premissas!$B$10),Premissas!$B$11)</f>
        <v/>
      </c>
      <c r="AH6" s="58">
        <f>MIN(AG6*(1+Premissas!$B$10),Premissas!$B$11)</f>
        <v/>
      </c>
      <c r="AI6" s="58">
        <f>MIN(AH6*(1+Premissas!$B$10),Premissas!$B$11)</f>
        <v/>
      </c>
      <c r="AJ6" s="58">
        <f>MIN(AI6*(1+Premissas!$B$10),Premissas!$B$11)</f>
        <v/>
      </c>
      <c r="AK6" s="58">
        <f>MIN(AJ6*(1+Premissas!$B$10),Premissas!$B$11)</f>
        <v/>
      </c>
      <c r="AL6" s="58">
        <f>MIN(AK6*(1+Premissas!$B$10),Premissas!$B$11)</f>
        <v/>
      </c>
      <c r="AM6" s="58">
        <f>MIN(AL6*(1+Premissas!$B$10),Premissas!$B$11)</f>
        <v/>
      </c>
      <c r="AN6" s="58">
        <f>MIN(AM6*(1+Premissas!$B$10),Premissas!$B$11)</f>
        <v/>
      </c>
      <c r="AO6" s="58">
        <f>MIN(AN6*(1+Premissas!$B$10),Premissas!$B$11)</f>
        <v/>
      </c>
      <c r="AP6" s="58">
        <f>MIN(AO6*(1+Premissas!$B$10),Premissas!$B$11)</f>
        <v/>
      </c>
      <c r="AQ6" s="58">
        <f>MIN(AP6*(1+Premissas!$B$10),Premissas!$B$11)</f>
        <v/>
      </c>
      <c r="AR6" s="58">
        <f>MIN(AQ6*(1+Premissas!$B$10),Premissas!$B$11)</f>
        <v/>
      </c>
      <c r="AS6" s="58">
        <f>MIN(AR6*(1+Premissas!$B$10),Premissas!$B$11)</f>
        <v/>
      </c>
      <c r="AT6" s="58">
        <f>MIN(AS6*(1+Premissas!$B$10),Premissas!$B$11)</f>
        <v/>
      </c>
      <c r="AU6" s="58">
        <f>MIN(AT6*(1+Premissas!$B$10),Premissas!$B$11)</f>
        <v/>
      </c>
      <c r="AV6" s="58">
        <f>MIN(AU6*(1+Premissas!$B$10),Premissas!$B$11)</f>
        <v/>
      </c>
      <c r="AW6" s="58">
        <f>MIN(AV6*(1+Premissas!$B$10),Premissas!$B$11)</f>
        <v/>
      </c>
      <c r="AX6" s="58">
        <f>MIN(AW6*(1+Premissas!$B$10),Premissas!$B$11)</f>
        <v/>
      </c>
      <c r="AY6" s="58">
        <f>MIN(AX6*(1+Premissas!$B$10),Premissas!$B$11)</f>
        <v/>
      </c>
      <c r="AZ6" s="58">
        <f>MIN(AY6*(1+Premissas!$B$10),Premissas!$B$11)</f>
        <v/>
      </c>
      <c r="BA6" s="58">
        <f>MIN(AZ6*(1+Premissas!$B$10),Premissas!$B$11)</f>
        <v/>
      </c>
      <c r="BB6" s="58">
        <f>MIN(BA6*(1+Premissas!$B$10),Premissas!$B$11)</f>
        <v/>
      </c>
      <c r="BC6" s="58">
        <f>MIN(BB6*(1+Premissas!$B$10),Premissas!$B$11)</f>
        <v/>
      </c>
      <c r="BD6" s="58">
        <f>MIN(BC6*(1+Premissas!$B$10),Premissas!$B$11)</f>
        <v/>
      </c>
      <c r="BE6" s="58">
        <f>MIN(BD6*(1+Premissas!$B$10),Premissas!$B$11)</f>
        <v/>
      </c>
      <c r="BF6" s="58">
        <f>MIN(BE6*(1+Premissas!$B$10),Premissas!$B$11)</f>
        <v/>
      </c>
      <c r="BG6" s="58">
        <f>MIN(BF6*(1+Premissas!$B$10),Premissas!$B$11)</f>
        <v/>
      </c>
      <c r="BH6" s="58">
        <f>MIN(BG6*(1+Premissas!$B$10),Premissas!$B$11)</f>
        <v/>
      </c>
      <c r="BI6" s="58">
        <f>MIN(BH6*(1+Premissas!$B$10),Premissas!$B$11)</f>
        <v/>
      </c>
      <c r="BJ6" s="58">
        <f>MIN(BI6*(1+Premissas!$B$10),Premissas!$B$11)</f>
        <v/>
      </c>
      <c r="BK6" s="58">
        <f>MIN(BJ6*(1+Premissas!$B$10),Premissas!$B$11)</f>
        <v/>
      </c>
    </row>
    <row r="7" ht="15" customHeight="1" s="35">
      <c r="A7" s="43" t="inlineStr">
        <is>
          <t>Convertidos Starter → Pago no mês (qtd)</t>
        </is>
      </c>
      <c r="B7" s="53" t="inlineStr">
        <is>
          <t>qtd</t>
        </is>
      </c>
      <c r="C7" s="58" t="n">
        <v>0</v>
      </c>
      <c r="D7" s="58" t="n">
        <v>0</v>
      </c>
      <c r="E7" s="58">
        <f>C6*Premissas!$B$12</f>
        <v/>
      </c>
      <c r="F7" s="58">
        <f>D6*Premissas!$B$12</f>
        <v/>
      </c>
      <c r="G7" s="58">
        <f>E6*Premissas!$B$12</f>
        <v/>
      </c>
      <c r="H7" s="58">
        <f>F6*Premissas!$B$12</f>
        <v/>
      </c>
      <c r="I7" s="58">
        <f>G6*Premissas!$B$12</f>
        <v/>
      </c>
      <c r="J7" s="58">
        <f>H6*Premissas!$B$12</f>
        <v/>
      </c>
      <c r="K7" s="58">
        <f>I6*Premissas!$B$12</f>
        <v/>
      </c>
      <c r="L7" s="58">
        <f>J6*Premissas!$B$12</f>
        <v/>
      </c>
      <c r="M7" s="58">
        <f>K6*Premissas!$B$12</f>
        <v/>
      </c>
      <c r="N7" s="58">
        <f>L6*Premissas!$B$12</f>
        <v/>
      </c>
      <c r="O7" s="58">
        <f>M6*Premissas!$B$12</f>
        <v/>
      </c>
      <c r="P7" s="58">
        <f>N6*Premissas!$B$12</f>
        <v/>
      </c>
      <c r="Q7" s="58">
        <f>O6*Premissas!$B$12</f>
        <v/>
      </c>
      <c r="R7" s="58">
        <f>P6*Premissas!$B$12</f>
        <v/>
      </c>
      <c r="S7" s="58">
        <f>Q6*Premissas!$B$12</f>
        <v/>
      </c>
      <c r="T7" s="58">
        <f>R6*Premissas!$B$12</f>
        <v/>
      </c>
      <c r="U7" s="58">
        <f>S6*Premissas!$B$12</f>
        <v/>
      </c>
      <c r="V7" s="58">
        <f>T6*Premissas!$B$12</f>
        <v/>
      </c>
      <c r="W7" s="58">
        <f>U6*Premissas!$B$12</f>
        <v/>
      </c>
      <c r="X7" s="58">
        <f>V6*Premissas!$B$12</f>
        <v/>
      </c>
      <c r="Y7" s="58">
        <f>W6*Premissas!$B$12</f>
        <v/>
      </c>
      <c r="Z7" s="58">
        <f>X6*Premissas!$B$12</f>
        <v/>
      </c>
      <c r="AA7" s="58">
        <f>Y6*Premissas!$B$12</f>
        <v/>
      </c>
      <c r="AB7" s="58">
        <f>Z6*Premissas!$B$12</f>
        <v/>
      </c>
      <c r="AC7" s="58">
        <f>AA6*Premissas!$B$12</f>
        <v/>
      </c>
      <c r="AD7" s="58">
        <f>AB6*Premissas!$B$12</f>
        <v/>
      </c>
      <c r="AE7" s="58">
        <f>AC6*Premissas!$B$12</f>
        <v/>
      </c>
      <c r="AF7" s="58">
        <f>AD6*Premissas!$B$12</f>
        <v/>
      </c>
      <c r="AG7" s="58">
        <f>AE6*Premissas!$B$12</f>
        <v/>
      </c>
      <c r="AH7" s="58">
        <f>AF6*Premissas!$B$12</f>
        <v/>
      </c>
      <c r="AI7" s="58">
        <f>AG6*Premissas!$B$12</f>
        <v/>
      </c>
      <c r="AJ7" s="58">
        <f>AH6*Premissas!$B$12</f>
        <v/>
      </c>
      <c r="AK7" s="58">
        <f>AI6*Premissas!$B$12</f>
        <v/>
      </c>
      <c r="AL7" s="58">
        <f>AJ6*Premissas!$B$12</f>
        <v/>
      </c>
      <c r="AM7" s="58">
        <f>AK6*Premissas!$B$12</f>
        <v/>
      </c>
      <c r="AN7" s="58">
        <f>AL6*Premissas!$B$12</f>
        <v/>
      </c>
      <c r="AO7" s="58">
        <f>AM6*Premissas!$B$12</f>
        <v/>
      </c>
      <c r="AP7" s="58">
        <f>AN6*Premissas!$B$12</f>
        <v/>
      </c>
      <c r="AQ7" s="58">
        <f>AO6*Premissas!$B$12</f>
        <v/>
      </c>
      <c r="AR7" s="58">
        <f>AP6*Premissas!$B$12</f>
        <v/>
      </c>
      <c r="AS7" s="58">
        <f>AQ6*Premissas!$B$12</f>
        <v/>
      </c>
      <c r="AT7" s="58">
        <f>AR6*Premissas!$B$12</f>
        <v/>
      </c>
      <c r="AU7" s="58">
        <f>AS6*Premissas!$B$12</f>
        <v/>
      </c>
      <c r="AV7" s="58">
        <f>AT6*Premissas!$B$12</f>
        <v/>
      </c>
      <c r="AW7" s="58">
        <f>AU6*Premissas!$B$12</f>
        <v/>
      </c>
      <c r="AX7" s="58">
        <f>AV6*Premissas!$B$12</f>
        <v/>
      </c>
      <c r="AY7" s="58">
        <f>AW6*Premissas!$B$12</f>
        <v/>
      </c>
      <c r="AZ7" s="58">
        <f>AX6*Premissas!$B$12</f>
        <v/>
      </c>
      <c r="BA7" s="58">
        <f>AY6*Premissas!$B$12</f>
        <v/>
      </c>
      <c r="BB7" s="58">
        <f>AZ6*Premissas!$B$12</f>
        <v/>
      </c>
      <c r="BC7" s="58">
        <f>BA6*Premissas!$B$12</f>
        <v/>
      </c>
      <c r="BD7" s="58">
        <f>BB6*Premissas!$B$12</f>
        <v/>
      </c>
      <c r="BE7" s="58">
        <f>BC6*Premissas!$B$12</f>
        <v/>
      </c>
      <c r="BF7" s="58">
        <f>BD6*Premissas!$B$12</f>
        <v/>
      </c>
      <c r="BG7" s="58">
        <f>BE6*Premissas!$B$12</f>
        <v/>
      </c>
      <c r="BH7" s="58">
        <f>BF6*Premissas!$B$12</f>
        <v/>
      </c>
      <c r="BI7" s="58">
        <f>BG6*Premissas!$B$12</f>
        <v/>
      </c>
      <c r="BJ7" s="58">
        <f>BH6*Premissas!$B$12</f>
        <v/>
      </c>
      <c r="BK7" s="58">
        <f>BI6*Premissas!$B$12</f>
        <v/>
      </c>
    </row>
    <row r="8" ht="15" customHeight="1" s="35">
      <c r="A8" s="43" t="inlineStr">
        <is>
          <t>Node: Starter ativos (qtd)</t>
        </is>
      </c>
      <c r="B8" s="53" t="inlineStr">
        <is>
          <t>qtd</t>
        </is>
      </c>
      <c r="C8" s="58" t="n">
        <v>0</v>
      </c>
      <c r="D8" s="58">
        <f>C8*(1-Premissas!$B$14)+D6-D7</f>
        <v/>
      </c>
      <c r="E8" s="58">
        <f>D8*(1-Premissas!$B$14)+E6-E7</f>
        <v/>
      </c>
      <c r="F8" s="58">
        <f>E8*(1-Premissas!$B$14)+F6-F7</f>
        <v/>
      </c>
      <c r="G8" s="58">
        <f>F8*(1-Premissas!$B$14)+G6-G7</f>
        <v/>
      </c>
      <c r="H8" s="58">
        <f>G8*(1-Premissas!$B$14)+H6-H7</f>
        <v/>
      </c>
      <c r="I8" s="58">
        <f>H8*(1-Premissas!$B$14)+I6-I7</f>
        <v/>
      </c>
      <c r="J8" s="58">
        <f>I8*(1-Premissas!$B$14)+J6-J7</f>
        <v/>
      </c>
      <c r="K8" s="58">
        <f>J8*(1-Premissas!$B$14)+K6-K7</f>
        <v/>
      </c>
      <c r="L8" s="58">
        <f>K8*(1-Premissas!$B$14)+L6-L7</f>
        <v/>
      </c>
      <c r="M8" s="58">
        <f>L8*(1-Premissas!$B$14)+M6-M7</f>
        <v/>
      </c>
      <c r="N8" s="58">
        <f>M8*(1-Premissas!$B$14)+N6-N7</f>
        <v/>
      </c>
      <c r="O8" s="58">
        <f>N8*(1-Premissas!$B$14)+O6-O7</f>
        <v/>
      </c>
      <c r="P8" s="58">
        <f>O8*(1-Premissas!$B$14)+P6-P7</f>
        <v/>
      </c>
      <c r="Q8" s="58">
        <f>P8*(1-Premissas!$B$14)+Q6-Q7</f>
        <v/>
      </c>
      <c r="R8" s="58">
        <f>Q8*(1-Premissas!$B$14)+R6-R7</f>
        <v/>
      </c>
      <c r="S8" s="58">
        <f>R8*(1-Premissas!$B$14)+S6-S7</f>
        <v/>
      </c>
      <c r="T8" s="58">
        <f>S8*(1-Premissas!$B$14)+T6-T7</f>
        <v/>
      </c>
      <c r="U8" s="58">
        <f>T8*(1-Premissas!$B$14)+U6-U7</f>
        <v/>
      </c>
      <c r="V8" s="58">
        <f>U8*(1-Premissas!$B$14)+V6-V7</f>
        <v/>
      </c>
      <c r="W8" s="58">
        <f>V8*(1-Premissas!$B$14)+W6-W7</f>
        <v/>
      </c>
      <c r="X8" s="58">
        <f>W8*(1-Premissas!$B$14)+X6-X7</f>
        <v/>
      </c>
      <c r="Y8" s="58">
        <f>X8*(1-Premissas!$B$14)+Y6-Y7</f>
        <v/>
      </c>
      <c r="Z8" s="58">
        <f>Y8*(1-Premissas!$B$14)+Z6-Z7</f>
        <v/>
      </c>
      <c r="AA8" s="58">
        <f>Z8*(1-Premissas!$B$14)+AA6-AA7</f>
        <v/>
      </c>
      <c r="AB8" s="58">
        <f>AA8*(1-Premissas!$B$14)+AB6-AB7</f>
        <v/>
      </c>
      <c r="AC8" s="58">
        <f>AB8*(1-Premissas!$B$14)+AC6-AC7</f>
        <v/>
      </c>
      <c r="AD8" s="58">
        <f>AC8*(1-Premissas!$B$14)+AD6-AD7</f>
        <v/>
      </c>
      <c r="AE8" s="58">
        <f>AD8*(1-Premissas!$B$14)+AE6-AE7</f>
        <v/>
      </c>
      <c r="AF8" s="58">
        <f>AE8*(1-Premissas!$B$14)+AF6-AF7</f>
        <v/>
      </c>
      <c r="AG8" s="58">
        <f>AF8*(1-Premissas!$B$14)+AG6-AG7</f>
        <v/>
      </c>
      <c r="AH8" s="58">
        <f>AG8*(1-Premissas!$B$14)+AH6-AH7</f>
        <v/>
      </c>
      <c r="AI8" s="58">
        <f>AH8*(1-Premissas!$B$14)+AI6-AI7</f>
        <v/>
      </c>
      <c r="AJ8" s="58">
        <f>AI8*(1-Premissas!$B$14)+AJ6-AJ7</f>
        <v/>
      </c>
      <c r="AK8" s="58">
        <f>AJ8*(1-Premissas!$B$14)+AK6-AK7</f>
        <v/>
      </c>
      <c r="AL8" s="58">
        <f>AK8*(1-Premissas!$B$14)+AL6-AL7</f>
        <v/>
      </c>
      <c r="AM8" s="58">
        <f>AL8*(1-Premissas!$B$14)+AM6-AM7</f>
        <v/>
      </c>
      <c r="AN8" s="58">
        <f>AM8*(1-Premissas!$B$14)+AN6-AN7</f>
        <v/>
      </c>
      <c r="AO8" s="58">
        <f>AN8*(1-Premissas!$B$14)+AO6-AO7</f>
        <v/>
      </c>
      <c r="AP8" s="58">
        <f>AO8*(1-Premissas!$B$14)+AP6-AP7</f>
        <v/>
      </c>
      <c r="AQ8" s="58">
        <f>AP8*(1-Premissas!$B$14)+AQ6-AQ7</f>
        <v/>
      </c>
      <c r="AR8" s="58">
        <f>AQ8*(1-Premissas!$B$14)+AR6-AR7</f>
        <v/>
      </c>
      <c r="AS8" s="58">
        <f>AR8*(1-Premissas!$B$14)+AS6-AS7</f>
        <v/>
      </c>
      <c r="AT8" s="58">
        <f>AS8*(1-Premissas!$B$14)+AT6-AT7</f>
        <v/>
      </c>
      <c r="AU8" s="58">
        <f>AT8*(1-Premissas!$B$14)+AU6-AU7</f>
        <v/>
      </c>
      <c r="AV8" s="58">
        <f>AU8*(1-Premissas!$B$14)+AV6-AV7</f>
        <v/>
      </c>
      <c r="AW8" s="58">
        <f>AV8*(1-Premissas!$B$14)+AW6-AW7</f>
        <v/>
      </c>
      <c r="AX8" s="58">
        <f>AW8*(1-Premissas!$B$14)+AX6-AX7</f>
        <v/>
      </c>
      <c r="AY8" s="58">
        <f>AX8*(1-Premissas!$B$14)+AY6-AY7</f>
        <v/>
      </c>
      <c r="AZ8" s="58">
        <f>AY8*(1-Premissas!$B$14)+AZ6-AZ7</f>
        <v/>
      </c>
      <c r="BA8" s="58">
        <f>AZ8*(1-Premissas!$B$14)+BA6-BA7</f>
        <v/>
      </c>
      <c r="BB8" s="58">
        <f>BA8*(1-Premissas!$B$14)+BB6-BB7</f>
        <v/>
      </c>
      <c r="BC8" s="58">
        <f>BB8*(1-Premissas!$B$14)+BC6-BC7</f>
        <v/>
      </c>
      <c r="BD8" s="58">
        <f>BC8*(1-Premissas!$B$14)+BD6-BD7</f>
        <v/>
      </c>
      <c r="BE8" s="58">
        <f>BD8*(1-Premissas!$B$14)+BE6-BE7</f>
        <v/>
      </c>
      <c r="BF8" s="58">
        <f>BE8*(1-Premissas!$B$14)+BF6-BF7</f>
        <v/>
      </c>
      <c r="BG8" s="58">
        <f>BF8*(1-Premissas!$B$14)+BG6-BG7</f>
        <v/>
      </c>
      <c r="BH8" s="58">
        <f>BG8*(1-Premissas!$B$14)+BH6-BH7</f>
        <v/>
      </c>
      <c r="BI8" s="58">
        <f>BH8*(1-Premissas!$B$14)+BI6-BI7</f>
        <v/>
      </c>
      <c r="BJ8" s="58">
        <f>BI8*(1-Premissas!$B$14)+BJ6-BJ7</f>
        <v/>
      </c>
      <c r="BK8" s="58">
        <f>BJ8*(1-Premissas!$B$14)+BK6-BK7</f>
        <v/>
      </c>
    </row>
    <row r="9" ht="15" customHeight="1" s="35">
      <c r="A9" s="43" t="inlineStr">
        <is>
          <t>Novos pagantes Node: Pro no mês (qtd)</t>
        </is>
      </c>
      <c r="B9" s="53" t="inlineStr">
        <is>
          <t>qtd</t>
        </is>
      </c>
      <c r="C9" s="58" t="n">
        <v>0</v>
      </c>
      <c r="D9" s="58">
        <f>D7*Premissas!$B$13</f>
        <v/>
      </c>
      <c r="E9" s="58">
        <f>E7*Premissas!$B$13</f>
        <v/>
      </c>
      <c r="F9" s="58">
        <f>F7*Premissas!$B$13</f>
        <v/>
      </c>
      <c r="G9" s="58">
        <f>G7*Premissas!$B$13</f>
        <v/>
      </c>
      <c r="H9" s="58">
        <f>H7*Premissas!$B$13</f>
        <v/>
      </c>
      <c r="I9" s="58">
        <f>I7*Premissas!$B$13</f>
        <v/>
      </c>
      <c r="J9" s="58">
        <f>J7*Premissas!$B$13</f>
        <v/>
      </c>
      <c r="K9" s="58">
        <f>K7*Premissas!$B$13</f>
        <v/>
      </c>
      <c r="L9" s="58">
        <f>L7*Premissas!$B$13</f>
        <v/>
      </c>
      <c r="M9" s="58">
        <f>M7*Premissas!$B$13</f>
        <v/>
      </c>
      <c r="N9" s="58">
        <f>N7*Premissas!$B$13</f>
        <v/>
      </c>
      <c r="O9" s="58">
        <f>O7*Premissas!$B$13</f>
        <v/>
      </c>
      <c r="P9" s="58">
        <f>P7*Premissas!$B$13</f>
        <v/>
      </c>
      <c r="Q9" s="58">
        <f>Q7*Premissas!$B$13</f>
        <v/>
      </c>
      <c r="R9" s="58">
        <f>R7*Premissas!$B$13</f>
        <v/>
      </c>
      <c r="S9" s="58">
        <f>S7*Premissas!$B$13</f>
        <v/>
      </c>
      <c r="T9" s="58">
        <f>T7*Premissas!$B$13</f>
        <v/>
      </c>
      <c r="U9" s="58">
        <f>U7*Premissas!$B$13</f>
        <v/>
      </c>
      <c r="V9" s="58">
        <f>V7*Premissas!$B$13</f>
        <v/>
      </c>
      <c r="W9" s="58">
        <f>W7*Premissas!$B$13</f>
        <v/>
      </c>
      <c r="X9" s="58">
        <f>X7*Premissas!$B$13</f>
        <v/>
      </c>
      <c r="Y9" s="58">
        <f>Y7*Premissas!$B$13</f>
        <v/>
      </c>
      <c r="Z9" s="58">
        <f>Z7*Premissas!$B$13</f>
        <v/>
      </c>
      <c r="AA9" s="58">
        <f>AA7*Premissas!$B$13</f>
        <v/>
      </c>
      <c r="AB9" s="58">
        <f>AB7*Premissas!$B$13</f>
        <v/>
      </c>
      <c r="AC9" s="58">
        <f>AC7*Premissas!$B$13</f>
        <v/>
      </c>
      <c r="AD9" s="58">
        <f>AD7*Premissas!$B$13</f>
        <v/>
      </c>
      <c r="AE9" s="58">
        <f>AE7*Premissas!$B$13</f>
        <v/>
      </c>
      <c r="AF9" s="58">
        <f>AF7*Premissas!$B$13</f>
        <v/>
      </c>
      <c r="AG9" s="58">
        <f>AG7*Premissas!$B$13</f>
        <v/>
      </c>
      <c r="AH9" s="58">
        <f>AH7*Premissas!$B$13</f>
        <v/>
      </c>
      <c r="AI9" s="58">
        <f>AI7*Premissas!$B$13</f>
        <v/>
      </c>
      <c r="AJ9" s="58">
        <f>AJ7*Premissas!$B$13</f>
        <v/>
      </c>
      <c r="AK9" s="58">
        <f>AK7*Premissas!$B$13</f>
        <v/>
      </c>
      <c r="AL9" s="58">
        <f>AL7*Premissas!$B$13</f>
        <v/>
      </c>
      <c r="AM9" s="58">
        <f>AM7*Premissas!$B$13</f>
        <v/>
      </c>
      <c r="AN9" s="58">
        <f>AN7*Premissas!$B$13</f>
        <v/>
      </c>
      <c r="AO9" s="58">
        <f>AO7*Premissas!$B$13</f>
        <v/>
      </c>
      <c r="AP9" s="58">
        <f>AP7*Premissas!$B$13</f>
        <v/>
      </c>
      <c r="AQ9" s="58">
        <f>AQ7*Premissas!$B$13</f>
        <v/>
      </c>
      <c r="AR9" s="58">
        <f>AR7*Premissas!$B$13</f>
        <v/>
      </c>
      <c r="AS9" s="58">
        <f>AS7*Premissas!$B$13</f>
        <v/>
      </c>
      <c r="AT9" s="58">
        <f>AT7*Premissas!$B$13</f>
        <v/>
      </c>
      <c r="AU9" s="58">
        <f>AU7*Premissas!$B$13</f>
        <v/>
      </c>
      <c r="AV9" s="58">
        <f>AV7*Premissas!$B$13</f>
        <v/>
      </c>
      <c r="AW9" s="58">
        <f>AW7*Premissas!$B$13</f>
        <v/>
      </c>
      <c r="AX9" s="58">
        <f>AX7*Premissas!$B$13</f>
        <v/>
      </c>
      <c r="AY9" s="58">
        <f>AY7*Premissas!$B$13</f>
        <v/>
      </c>
      <c r="AZ9" s="58">
        <f>AZ7*Premissas!$B$13</f>
        <v/>
      </c>
      <c r="BA9" s="58">
        <f>BA7*Premissas!$B$13</f>
        <v/>
      </c>
      <c r="BB9" s="58">
        <f>BB7*Premissas!$B$13</f>
        <v/>
      </c>
      <c r="BC9" s="58">
        <f>BC7*Premissas!$B$13</f>
        <v/>
      </c>
      <c r="BD9" s="58">
        <f>BD7*Premissas!$B$13</f>
        <v/>
      </c>
      <c r="BE9" s="58">
        <f>BE7*Premissas!$B$13</f>
        <v/>
      </c>
      <c r="BF9" s="58">
        <f>BF7*Premissas!$B$13</f>
        <v/>
      </c>
      <c r="BG9" s="58">
        <f>BG7*Premissas!$B$13</f>
        <v/>
      </c>
      <c r="BH9" s="58">
        <f>BH7*Premissas!$B$13</f>
        <v/>
      </c>
      <c r="BI9" s="58">
        <f>BI7*Premissas!$B$13</f>
        <v/>
      </c>
      <c r="BJ9" s="58">
        <f>BJ7*Premissas!$B$13</f>
        <v/>
      </c>
      <c r="BK9" s="58">
        <f>BK7*Premissas!$B$13</f>
        <v/>
      </c>
    </row>
    <row r="10" ht="15" customHeight="1" s="35">
      <c r="A10" s="43" t="inlineStr">
        <is>
          <t>Novos pagantes Node: Institutional no mês (qtd)</t>
        </is>
      </c>
      <c r="B10" s="53" t="inlineStr">
        <is>
          <t>qtd</t>
        </is>
      </c>
      <c r="C10" s="58" t="n">
        <v>0</v>
      </c>
      <c r="D10" s="58">
        <f>D7*(1-Premissas!$B$13)</f>
        <v/>
      </c>
      <c r="E10" s="58">
        <f>E7*(1-Premissas!$B$13)</f>
        <v/>
      </c>
      <c r="F10" s="58">
        <f>F7*(1-Premissas!$B$13)</f>
        <v/>
      </c>
      <c r="G10" s="58">
        <f>G7*(1-Premissas!$B$13)</f>
        <v/>
      </c>
      <c r="H10" s="58">
        <f>H7*(1-Premissas!$B$13)</f>
        <v/>
      </c>
      <c r="I10" s="58">
        <f>I7*(1-Premissas!$B$13)</f>
        <v/>
      </c>
      <c r="J10" s="58">
        <f>J7*(1-Premissas!$B$13)</f>
        <v/>
      </c>
      <c r="K10" s="58">
        <f>K7*(1-Premissas!$B$13)</f>
        <v/>
      </c>
      <c r="L10" s="58">
        <f>L7*(1-Premissas!$B$13)</f>
        <v/>
      </c>
      <c r="M10" s="58">
        <f>M7*(1-Premissas!$B$13)</f>
        <v/>
      </c>
      <c r="N10" s="58">
        <f>N7*(1-Premissas!$B$13)</f>
        <v/>
      </c>
      <c r="O10" s="58">
        <f>O7*(1-Premissas!$B$13)</f>
        <v/>
      </c>
      <c r="P10" s="58">
        <f>P7*(1-Premissas!$B$13)</f>
        <v/>
      </c>
      <c r="Q10" s="58">
        <f>Q7*(1-Premissas!$B$13)</f>
        <v/>
      </c>
      <c r="R10" s="58">
        <f>R7*(1-Premissas!$B$13)</f>
        <v/>
      </c>
      <c r="S10" s="58">
        <f>S7*(1-Premissas!$B$13)</f>
        <v/>
      </c>
      <c r="T10" s="58">
        <f>T7*(1-Premissas!$B$13)</f>
        <v/>
      </c>
      <c r="U10" s="58">
        <f>U7*(1-Premissas!$B$13)</f>
        <v/>
      </c>
      <c r="V10" s="58">
        <f>V7*(1-Premissas!$B$13)</f>
        <v/>
      </c>
      <c r="W10" s="58">
        <f>W7*(1-Premissas!$B$13)</f>
        <v/>
      </c>
      <c r="X10" s="58">
        <f>X7*(1-Premissas!$B$13)</f>
        <v/>
      </c>
      <c r="Y10" s="58">
        <f>Y7*(1-Premissas!$B$13)</f>
        <v/>
      </c>
      <c r="Z10" s="58">
        <f>Z7*(1-Premissas!$B$13)</f>
        <v/>
      </c>
      <c r="AA10" s="58">
        <f>AA7*(1-Premissas!$B$13)</f>
        <v/>
      </c>
      <c r="AB10" s="58">
        <f>AB7*(1-Premissas!$B$13)</f>
        <v/>
      </c>
      <c r="AC10" s="58">
        <f>AC7*(1-Premissas!$B$13)</f>
        <v/>
      </c>
      <c r="AD10" s="58">
        <f>AD7*(1-Premissas!$B$13)</f>
        <v/>
      </c>
      <c r="AE10" s="58">
        <f>AE7*(1-Premissas!$B$13)</f>
        <v/>
      </c>
      <c r="AF10" s="58">
        <f>AF7*(1-Premissas!$B$13)</f>
        <v/>
      </c>
      <c r="AG10" s="58">
        <f>AG7*(1-Premissas!$B$13)</f>
        <v/>
      </c>
      <c r="AH10" s="58">
        <f>AH7*(1-Premissas!$B$13)</f>
        <v/>
      </c>
      <c r="AI10" s="58">
        <f>AI7*(1-Premissas!$B$13)</f>
        <v/>
      </c>
      <c r="AJ10" s="58">
        <f>AJ7*(1-Premissas!$B$13)</f>
        <v/>
      </c>
      <c r="AK10" s="58">
        <f>AK7*(1-Premissas!$B$13)</f>
        <v/>
      </c>
      <c r="AL10" s="58">
        <f>AL7*(1-Premissas!$B$13)</f>
        <v/>
      </c>
      <c r="AM10" s="58">
        <f>AM7*(1-Premissas!$B$13)</f>
        <v/>
      </c>
      <c r="AN10" s="58">
        <f>AN7*(1-Premissas!$B$13)</f>
        <v/>
      </c>
      <c r="AO10" s="58">
        <f>AO7*(1-Premissas!$B$13)</f>
        <v/>
      </c>
      <c r="AP10" s="58">
        <f>AP7*(1-Premissas!$B$13)</f>
        <v/>
      </c>
      <c r="AQ10" s="58">
        <f>AQ7*(1-Premissas!$B$13)</f>
        <v/>
      </c>
      <c r="AR10" s="58">
        <f>AR7*(1-Premissas!$B$13)</f>
        <v/>
      </c>
      <c r="AS10" s="58">
        <f>AS7*(1-Premissas!$B$13)</f>
        <v/>
      </c>
      <c r="AT10" s="58">
        <f>AT7*(1-Premissas!$B$13)</f>
        <v/>
      </c>
      <c r="AU10" s="58">
        <f>AU7*(1-Premissas!$B$13)</f>
        <v/>
      </c>
      <c r="AV10" s="58">
        <f>AV7*(1-Premissas!$B$13)</f>
        <v/>
      </c>
      <c r="AW10" s="58">
        <f>AW7*(1-Premissas!$B$13)</f>
        <v/>
      </c>
      <c r="AX10" s="58">
        <f>AX7*(1-Premissas!$B$13)</f>
        <v/>
      </c>
      <c r="AY10" s="58">
        <f>AY7*(1-Premissas!$B$13)</f>
        <v/>
      </c>
      <c r="AZ10" s="58">
        <f>AZ7*(1-Premissas!$B$13)</f>
        <v/>
      </c>
      <c r="BA10" s="58">
        <f>BA7*(1-Premissas!$B$13)</f>
        <v/>
      </c>
      <c r="BB10" s="58">
        <f>BB7*(1-Premissas!$B$13)</f>
        <v/>
      </c>
      <c r="BC10" s="58">
        <f>BC7*(1-Premissas!$B$13)</f>
        <v/>
      </c>
      <c r="BD10" s="58">
        <f>BD7*(1-Premissas!$B$13)</f>
        <v/>
      </c>
      <c r="BE10" s="58">
        <f>BE7*(1-Premissas!$B$13)</f>
        <v/>
      </c>
      <c r="BF10" s="58">
        <f>BF7*(1-Premissas!$B$13)</f>
        <v/>
      </c>
      <c r="BG10" s="58">
        <f>BG7*(1-Premissas!$B$13)</f>
        <v/>
      </c>
      <c r="BH10" s="58">
        <f>BH7*(1-Premissas!$B$13)</f>
        <v/>
      </c>
      <c r="BI10" s="58">
        <f>BI7*(1-Premissas!$B$13)</f>
        <v/>
      </c>
      <c r="BJ10" s="58">
        <f>BJ7*(1-Premissas!$B$13)</f>
        <v/>
      </c>
      <c r="BK10" s="58">
        <f>BK7*(1-Premissas!$B$13)</f>
        <v/>
      </c>
    </row>
    <row r="11" ht="15" customHeight="1" s="35">
      <c r="A11" s="43" t="inlineStr">
        <is>
          <t>Node: Pro ativos (qtd)</t>
        </is>
      </c>
      <c r="B11" s="53" t="inlineStr">
        <is>
          <t>qtd</t>
        </is>
      </c>
      <c r="C11" s="58" t="n">
        <v>0</v>
      </c>
      <c r="D11" s="58">
        <f>C11*(1-Premissas!$B$15)+D9</f>
        <v/>
      </c>
      <c r="E11" s="58">
        <f>D11*(1-Premissas!$B$15)+E9</f>
        <v/>
      </c>
      <c r="F11" s="58">
        <f>E11*(1-Premissas!$B$15)+F9</f>
        <v/>
      </c>
      <c r="G11" s="58">
        <f>F11*(1-Premissas!$B$15)+G9</f>
        <v/>
      </c>
      <c r="H11" s="58">
        <f>G11*(1-Premissas!$B$15)+H9</f>
        <v/>
      </c>
      <c r="I11" s="58">
        <f>H11*(1-Premissas!$B$15)+I9</f>
        <v/>
      </c>
      <c r="J11" s="58">
        <f>I11*(1-Premissas!$B$15)+J9</f>
        <v/>
      </c>
      <c r="K11" s="58">
        <f>J11*(1-Premissas!$B$15)+K9</f>
        <v/>
      </c>
      <c r="L11" s="58">
        <f>K11*(1-Premissas!$B$15)+L9</f>
        <v/>
      </c>
      <c r="M11" s="58">
        <f>L11*(1-Premissas!$B$15)+M9</f>
        <v/>
      </c>
      <c r="N11" s="58">
        <f>M11*(1-Premissas!$B$15)+N9</f>
        <v/>
      </c>
      <c r="O11" s="58">
        <f>N11*(1-Premissas!$B$15)+O9</f>
        <v/>
      </c>
      <c r="P11" s="58">
        <f>O11*(1-Premissas!$B$15)+P9</f>
        <v/>
      </c>
      <c r="Q11" s="58">
        <f>P11*(1-Premissas!$B$15)+Q9</f>
        <v/>
      </c>
      <c r="R11" s="58">
        <f>Q11*(1-Premissas!$B$15)+R9</f>
        <v/>
      </c>
      <c r="S11" s="58">
        <f>R11*(1-Premissas!$B$15)+S9</f>
        <v/>
      </c>
      <c r="T11" s="58">
        <f>S11*(1-Premissas!$B$15)+T9</f>
        <v/>
      </c>
      <c r="U11" s="58">
        <f>T11*(1-Premissas!$B$15)+U9</f>
        <v/>
      </c>
      <c r="V11" s="58">
        <f>U11*(1-Premissas!$B$15)+V9</f>
        <v/>
      </c>
      <c r="W11" s="58">
        <f>V11*(1-Premissas!$B$15)+W9</f>
        <v/>
      </c>
      <c r="X11" s="58">
        <f>W11*(1-Premissas!$B$15)+X9</f>
        <v/>
      </c>
      <c r="Y11" s="58">
        <f>X11*(1-Premissas!$B$15)+Y9</f>
        <v/>
      </c>
      <c r="Z11" s="58">
        <f>Y11*(1-Premissas!$B$15)+Z9</f>
        <v/>
      </c>
      <c r="AA11" s="58">
        <f>Z11*(1-Premissas!$B$15)+AA9</f>
        <v/>
      </c>
      <c r="AB11" s="58">
        <f>AA11*(1-Premissas!$B$15)+AB9</f>
        <v/>
      </c>
      <c r="AC11" s="58">
        <f>AB11*(1-Premissas!$B$15)+AC9</f>
        <v/>
      </c>
      <c r="AD11" s="58">
        <f>AC11*(1-Premissas!$B$15)+AD9</f>
        <v/>
      </c>
      <c r="AE11" s="58">
        <f>AD11*(1-Premissas!$B$15)+AE9</f>
        <v/>
      </c>
      <c r="AF11" s="58">
        <f>AE11*(1-Premissas!$B$15)+AF9</f>
        <v/>
      </c>
      <c r="AG11" s="58">
        <f>AF11*(1-Premissas!$B$15)+AG9</f>
        <v/>
      </c>
      <c r="AH11" s="58">
        <f>AG11*(1-Premissas!$B$15)+AH9</f>
        <v/>
      </c>
      <c r="AI11" s="58">
        <f>AH11*(1-Premissas!$B$15)+AI9</f>
        <v/>
      </c>
      <c r="AJ11" s="58">
        <f>AI11*(1-Premissas!$B$15)+AJ9</f>
        <v/>
      </c>
      <c r="AK11" s="58">
        <f>AJ11*(1-Premissas!$B$15)+AK9</f>
        <v/>
      </c>
      <c r="AL11" s="58">
        <f>AK11*(1-Premissas!$B$15)+AL9</f>
        <v/>
      </c>
      <c r="AM11" s="58">
        <f>AL11*(1-Premissas!$B$15)+AM9</f>
        <v/>
      </c>
      <c r="AN11" s="58">
        <f>AM11*(1-Premissas!$B$15)+AN9</f>
        <v/>
      </c>
      <c r="AO11" s="58">
        <f>AN11*(1-Premissas!$B$15)+AO9</f>
        <v/>
      </c>
      <c r="AP11" s="58">
        <f>AO11*(1-Premissas!$B$15)+AP9</f>
        <v/>
      </c>
      <c r="AQ11" s="58">
        <f>AP11*(1-Premissas!$B$15)+AQ9</f>
        <v/>
      </c>
      <c r="AR11" s="58">
        <f>AQ11*(1-Premissas!$B$15)+AR9</f>
        <v/>
      </c>
      <c r="AS11" s="58">
        <f>AR11*(1-Premissas!$B$15)+AS9</f>
        <v/>
      </c>
      <c r="AT11" s="58">
        <f>AS11*(1-Premissas!$B$15)+AT9</f>
        <v/>
      </c>
      <c r="AU11" s="58">
        <f>AT11*(1-Premissas!$B$15)+AU9</f>
        <v/>
      </c>
      <c r="AV11" s="58">
        <f>AU11*(1-Premissas!$B$15)+AV9</f>
        <v/>
      </c>
      <c r="AW11" s="58">
        <f>AV11*(1-Premissas!$B$15)+AW9</f>
        <v/>
      </c>
      <c r="AX11" s="58">
        <f>AW11*(1-Premissas!$B$15)+AX9</f>
        <v/>
      </c>
      <c r="AY11" s="58">
        <f>AX11*(1-Premissas!$B$15)+AY9</f>
        <v/>
      </c>
      <c r="AZ11" s="58">
        <f>AY11*(1-Premissas!$B$15)+AZ9</f>
        <v/>
      </c>
      <c r="BA11" s="58">
        <f>AZ11*(1-Premissas!$B$15)+BA9</f>
        <v/>
      </c>
      <c r="BB11" s="58">
        <f>BA11*(1-Premissas!$B$15)+BB9</f>
        <v/>
      </c>
      <c r="BC11" s="58">
        <f>BB11*(1-Premissas!$B$15)+BC9</f>
        <v/>
      </c>
      <c r="BD11" s="58">
        <f>BC11*(1-Premissas!$B$15)+BD9</f>
        <v/>
      </c>
      <c r="BE11" s="58">
        <f>BD11*(1-Premissas!$B$15)+BE9</f>
        <v/>
      </c>
      <c r="BF11" s="58">
        <f>BE11*(1-Premissas!$B$15)+BF9</f>
        <v/>
      </c>
      <c r="BG11" s="58">
        <f>BF11*(1-Premissas!$B$15)+BG9</f>
        <v/>
      </c>
      <c r="BH11" s="58">
        <f>BG11*(1-Premissas!$B$15)+BH9</f>
        <v/>
      </c>
      <c r="BI11" s="58">
        <f>BH11*(1-Premissas!$B$15)+BI9</f>
        <v/>
      </c>
      <c r="BJ11" s="58">
        <f>BI11*(1-Premissas!$B$15)+BJ9</f>
        <v/>
      </c>
      <c r="BK11" s="58">
        <f>BJ11*(1-Premissas!$B$15)+BK9</f>
        <v/>
      </c>
    </row>
    <row r="12" ht="15" customHeight="1" s="35">
      <c r="A12" s="43" t="inlineStr">
        <is>
          <t>Node: Institutional ativos (qtd)</t>
        </is>
      </c>
      <c r="B12" s="53" t="inlineStr">
        <is>
          <t>qtd</t>
        </is>
      </c>
      <c r="C12" s="58" t="n">
        <v>0</v>
      </c>
      <c r="D12" s="58">
        <f>C12*(1-Premissas!$B$15)+D10</f>
        <v/>
      </c>
      <c r="E12" s="58">
        <f>D12*(1-Premissas!$B$15)+E10</f>
        <v/>
      </c>
      <c r="F12" s="58">
        <f>E12*(1-Premissas!$B$15)+F10</f>
        <v/>
      </c>
      <c r="G12" s="58">
        <f>F12*(1-Premissas!$B$15)+G10</f>
        <v/>
      </c>
      <c r="H12" s="58">
        <f>G12*(1-Premissas!$B$15)+H10</f>
        <v/>
      </c>
      <c r="I12" s="58">
        <f>H12*(1-Premissas!$B$15)+I10</f>
        <v/>
      </c>
      <c r="J12" s="58">
        <f>I12*(1-Premissas!$B$15)+J10</f>
        <v/>
      </c>
      <c r="K12" s="58">
        <f>J12*(1-Premissas!$B$15)+K10</f>
        <v/>
      </c>
      <c r="L12" s="58">
        <f>K12*(1-Premissas!$B$15)+L10</f>
        <v/>
      </c>
      <c r="M12" s="58">
        <f>L12*(1-Premissas!$B$15)+M10</f>
        <v/>
      </c>
      <c r="N12" s="58">
        <f>M12*(1-Premissas!$B$15)+N10</f>
        <v/>
      </c>
      <c r="O12" s="58">
        <f>N12*(1-Premissas!$B$15)+O10</f>
        <v/>
      </c>
      <c r="P12" s="58">
        <f>O12*(1-Premissas!$B$15)+P10</f>
        <v/>
      </c>
      <c r="Q12" s="58">
        <f>P12*(1-Premissas!$B$15)+Q10</f>
        <v/>
      </c>
      <c r="R12" s="58">
        <f>Q12*(1-Premissas!$B$15)+R10</f>
        <v/>
      </c>
      <c r="S12" s="58">
        <f>R12*(1-Premissas!$B$15)+S10</f>
        <v/>
      </c>
      <c r="T12" s="58">
        <f>S12*(1-Premissas!$B$15)+T10</f>
        <v/>
      </c>
      <c r="U12" s="58">
        <f>T12*(1-Premissas!$B$15)+U10</f>
        <v/>
      </c>
      <c r="V12" s="58">
        <f>U12*(1-Premissas!$B$15)+V10</f>
        <v/>
      </c>
      <c r="W12" s="58">
        <f>V12*(1-Premissas!$B$15)+W10</f>
        <v/>
      </c>
      <c r="X12" s="58">
        <f>W12*(1-Premissas!$B$15)+X10</f>
        <v/>
      </c>
      <c r="Y12" s="58">
        <f>X12*(1-Premissas!$B$15)+Y10</f>
        <v/>
      </c>
      <c r="Z12" s="58">
        <f>Y12*(1-Premissas!$B$15)+Z10</f>
        <v/>
      </c>
      <c r="AA12" s="58">
        <f>Z12*(1-Premissas!$B$15)+AA10</f>
        <v/>
      </c>
      <c r="AB12" s="58">
        <f>AA12*(1-Premissas!$B$15)+AB10</f>
        <v/>
      </c>
      <c r="AC12" s="58">
        <f>AB12*(1-Premissas!$B$15)+AC10</f>
        <v/>
      </c>
      <c r="AD12" s="58">
        <f>AC12*(1-Premissas!$B$15)+AD10</f>
        <v/>
      </c>
      <c r="AE12" s="58">
        <f>AD12*(1-Premissas!$B$15)+AE10</f>
        <v/>
      </c>
      <c r="AF12" s="58">
        <f>AE12*(1-Premissas!$B$15)+AF10</f>
        <v/>
      </c>
      <c r="AG12" s="58">
        <f>AF12*(1-Premissas!$B$15)+AG10</f>
        <v/>
      </c>
      <c r="AH12" s="58">
        <f>AG12*(1-Premissas!$B$15)+AH10</f>
        <v/>
      </c>
      <c r="AI12" s="58">
        <f>AH12*(1-Premissas!$B$15)+AI10</f>
        <v/>
      </c>
      <c r="AJ12" s="58">
        <f>AI12*(1-Premissas!$B$15)+AJ10</f>
        <v/>
      </c>
      <c r="AK12" s="58">
        <f>AJ12*(1-Premissas!$B$15)+AK10</f>
        <v/>
      </c>
      <c r="AL12" s="58">
        <f>AK12*(1-Premissas!$B$15)+AL10</f>
        <v/>
      </c>
      <c r="AM12" s="58">
        <f>AL12*(1-Premissas!$B$15)+AM10</f>
        <v/>
      </c>
      <c r="AN12" s="58">
        <f>AM12*(1-Premissas!$B$15)+AN10</f>
        <v/>
      </c>
      <c r="AO12" s="58">
        <f>AN12*(1-Premissas!$B$15)+AO10</f>
        <v/>
      </c>
      <c r="AP12" s="58">
        <f>AO12*(1-Premissas!$B$15)+AP10</f>
        <v/>
      </c>
      <c r="AQ12" s="58">
        <f>AP12*(1-Premissas!$B$15)+AQ10</f>
        <v/>
      </c>
      <c r="AR12" s="58">
        <f>AQ12*(1-Premissas!$B$15)+AR10</f>
        <v/>
      </c>
      <c r="AS12" s="58">
        <f>AR12*(1-Premissas!$B$15)+AS10</f>
        <v/>
      </c>
      <c r="AT12" s="58">
        <f>AS12*(1-Premissas!$B$15)+AT10</f>
        <v/>
      </c>
      <c r="AU12" s="58">
        <f>AT12*(1-Premissas!$B$15)+AU10</f>
        <v/>
      </c>
      <c r="AV12" s="58">
        <f>AU12*(1-Premissas!$B$15)+AV10</f>
        <v/>
      </c>
      <c r="AW12" s="58">
        <f>AV12*(1-Premissas!$B$15)+AW10</f>
        <v/>
      </c>
      <c r="AX12" s="58">
        <f>AW12*(1-Premissas!$B$15)+AX10</f>
        <v/>
      </c>
      <c r="AY12" s="58">
        <f>AX12*(1-Premissas!$B$15)+AY10</f>
        <v/>
      </c>
      <c r="AZ12" s="58">
        <f>AY12*(1-Premissas!$B$15)+AZ10</f>
        <v/>
      </c>
      <c r="BA12" s="58">
        <f>AZ12*(1-Premissas!$B$15)+BA10</f>
        <v/>
      </c>
      <c r="BB12" s="58">
        <f>BA12*(1-Premissas!$B$15)+BB10</f>
        <v/>
      </c>
      <c r="BC12" s="58">
        <f>BB12*(1-Premissas!$B$15)+BC10</f>
        <v/>
      </c>
      <c r="BD12" s="58">
        <f>BC12*(1-Premissas!$B$15)+BD10</f>
        <v/>
      </c>
      <c r="BE12" s="58">
        <f>BD12*(1-Premissas!$B$15)+BE10</f>
        <v/>
      </c>
      <c r="BF12" s="58">
        <f>BE12*(1-Premissas!$B$15)+BF10</f>
        <v/>
      </c>
      <c r="BG12" s="58">
        <f>BF12*(1-Premissas!$B$15)+BG10</f>
        <v/>
      </c>
      <c r="BH12" s="58">
        <f>BG12*(1-Premissas!$B$15)+BH10</f>
        <v/>
      </c>
      <c r="BI12" s="58">
        <f>BH12*(1-Premissas!$B$15)+BI10</f>
        <v/>
      </c>
      <c r="BJ12" s="58">
        <f>BI12*(1-Premissas!$B$15)+BJ10</f>
        <v/>
      </c>
      <c r="BK12" s="58">
        <f>BJ12*(1-Premissas!$B$15)+BK10</f>
        <v/>
      </c>
    </row>
    <row r="13" ht="15" customHeight="1" s="35">
      <c r="A13" s="47" t="inlineStr">
        <is>
          <t>Total pagantes ativos — Pro + Institutional (qtd)</t>
        </is>
      </c>
      <c r="B13" s="53" t="inlineStr">
        <is>
          <t>qtd</t>
        </is>
      </c>
      <c r="C13" s="59" t="n">
        <v>0</v>
      </c>
      <c r="D13" s="59">
        <f>D11+D12</f>
        <v/>
      </c>
      <c r="E13" s="59">
        <f>E11+E12</f>
        <v/>
      </c>
      <c r="F13" s="59">
        <f>F11+F12</f>
        <v/>
      </c>
      <c r="G13" s="59">
        <f>G11+G12</f>
        <v/>
      </c>
      <c r="H13" s="59">
        <f>H11+H12</f>
        <v/>
      </c>
      <c r="I13" s="59">
        <f>I11+I12</f>
        <v/>
      </c>
      <c r="J13" s="59">
        <f>J11+J12</f>
        <v/>
      </c>
      <c r="K13" s="59">
        <f>K11+K12</f>
        <v/>
      </c>
      <c r="L13" s="59">
        <f>L11+L12</f>
        <v/>
      </c>
      <c r="M13" s="59">
        <f>M11+M12</f>
        <v/>
      </c>
      <c r="N13" s="59">
        <f>N11+N12</f>
        <v/>
      </c>
      <c r="O13" s="59">
        <f>O11+O12</f>
        <v/>
      </c>
      <c r="P13" s="59">
        <f>P11+P12</f>
        <v/>
      </c>
      <c r="Q13" s="59">
        <f>Q11+Q12</f>
        <v/>
      </c>
      <c r="R13" s="59">
        <f>R11+R12</f>
        <v/>
      </c>
      <c r="S13" s="59">
        <f>S11+S12</f>
        <v/>
      </c>
      <c r="T13" s="59">
        <f>T11+T12</f>
        <v/>
      </c>
      <c r="U13" s="59">
        <f>U11+U12</f>
        <v/>
      </c>
      <c r="V13" s="59">
        <f>V11+V12</f>
        <v/>
      </c>
      <c r="W13" s="59">
        <f>W11+W12</f>
        <v/>
      </c>
      <c r="X13" s="59">
        <f>X11+X12</f>
        <v/>
      </c>
      <c r="Y13" s="59">
        <f>Y11+Y12</f>
        <v/>
      </c>
      <c r="Z13" s="59">
        <f>Z11+Z12</f>
        <v/>
      </c>
      <c r="AA13" s="59">
        <f>AA11+AA12</f>
        <v/>
      </c>
      <c r="AB13" s="59">
        <f>AB11+AB12</f>
        <v/>
      </c>
      <c r="AC13" s="59">
        <f>AC11+AC12</f>
        <v/>
      </c>
      <c r="AD13" s="59">
        <f>AD11+AD12</f>
        <v/>
      </c>
      <c r="AE13" s="59">
        <f>AE11+AE12</f>
        <v/>
      </c>
      <c r="AF13" s="59">
        <f>AF11+AF12</f>
        <v/>
      </c>
      <c r="AG13" s="59">
        <f>AG11+AG12</f>
        <v/>
      </c>
      <c r="AH13" s="59">
        <f>AH11+AH12</f>
        <v/>
      </c>
      <c r="AI13" s="59">
        <f>AI11+AI12</f>
        <v/>
      </c>
      <c r="AJ13" s="59">
        <f>AJ11+AJ12</f>
        <v/>
      </c>
      <c r="AK13" s="59">
        <f>AK11+AK12</f>
        <v/>
      </c>
      <c r="AL13" s="59">
        <f>AL11+AL12</f>
        <v/>
      </c>
      <c r="AM13" s="59">
        <f>AM11+AM12</f>
        <v/>
      </c>
      <c r="AN13" s="59">
        <f>AN11+AN12</f>
        <v/>
      </c>
      <c r="AO13" s="59">
        <f>AO11+AO12</f>
        <v/>
      </c>
      <c r="AP13" s="59">
        <f>AP11+AP12</f>
        <v/>
      </c>
      <c r="AQ13" s="59">
        <f>AQ11+AQ12</f>
        <v/>
      </c>
      <c r="AR13" s="59">
        <f>AR11+AR12</f>
        <v/>
      </c>
      <c r="AS13" s="59">
        <f>AS11+AS12</f>
        <v/>
      </c>
      <c r="AT13" s="59">
        <f>AT11+AT12</f>
        <v/>
      </c>
      <c r="AU13" s="59">
        <f>AU11+AU12</f>
        <v/>
      </c>
      <c r="AV13" s="59">
        <f>AV11+AV12</f>
        <v/>
      </c>
      <c r="AW13" s="59">
        <f>AW11+AW12</f>
        <v/>
      </c>
      <c r="AX13" s="59">
        <f>AX11+AX12</f>
        <v/>
      </c>
      <c r="AY13" s="59">
        <f>AY11+AY12</f>
        <v/>
      </c>
      <c r="AZ13" s="59">
        <f>AZ11+AZ12</f>
        <v/>
      </c>
      <c r="BA13" s="59">
        <f>BA11+BA12</f>
        <v/>
      </c>
      <c r="BB13" s="59">
        <f>BB11+BB12</f>
        <v/>
      </c>
      <c r="BC13" s="59">
        <f>BC11+BC12</f>
        <v/>
      </c>
      <c r="BD13" s="59">
        <f>BD11+BD12</f>
        <v/>
      </c>
      <c r="BE13" s="59">
        <f>BE11+BE12</f>
        <v/>
      </c>
      <c r="BF13" s="59">
        <f>BF11+BF12</f>
        <v/>
      </c>
      <c r="BG13" s="59">
        <f>BG11+BG12</f>
        <v/>
      </c>
      <c r="BH13" s="59">
        <f>BH11+BH12</f>
        <v/>
      </c>
      <c r="BI13" s="59">
        <f>BI11+BI12</f>
        <v/>
      </c>
      <c r="BJ13" s="59">
        <f>BJ11+BJ12</f>
        <v/>
      </c>
      <c r="BK13" s="59">
        <f>BK11+BK12</f>
        <v/>
      </c>
    </row>
    <row r="14" ht="15" customHeight="1" s="35">
      <c r="A14" s="47" t="inlineStr">
        <is>
          <t>Total usuários ativos — Starter + pagantes (qtd)</t>
        </is>
      </c>
      <c r="B14" s="53" t="inlineStr">
        <is>
          <t>qtd</t>
        </is>
      </c>
      <c r="C14" s="59" t="n">
        <v>0</v>
      </c>
      <c r="D14" s="59">
        <f>D8+D13</f>
        <v/>
      </c>
      <c r="E14" s="59">
        <f>E8+E13</f>
        <v/>
      </c>
      <c r="F14" s="59">
        <f>F8+F13</f>
        <v/>
      </c>
      <c r="G14" s="59">
        <f>G8+G13</f>
        <v/>
      </c>
      <c r="H14" s="59">
        <f>H8+H13</f>
        <v/>
      </c>
      <c r="I14" s="59">
        <f>I8+I13</f>
        <v/>
      </c>
      <c r="J14" s="59">
        <f>J8+J13</f>
        <v/>
      </c>
      <c r="K14" s="59">
        <f>K8+K13</f>
        <v/>
      </c>
      <c r="L14" s="59">
        <f>L8+L13</f>
        <v/>
      </c>
      <c r="M14" s="59">
        <f>M8+M13</f>
        <v/>
      </c>
      <c r="N14" s="59">
        <f>N8+N13</f>
        <v/>
      </c>
      <c r="O14" s="59">
        <f>O8+O13</f>
        <v/>
      </c>
      <c r="P14" s="59">
        <f>P8+P13</f>
        <v/>
      </c>
      <c r="Q14" s="59">
        <f>Q8+Q13</f>
        <v/>
      </c>
      <c r="R14" s="59">
        <f>R8+R13</f>
        <v/>
      </c>
      <c r="S14" s="59">
        <f>S8+S13</f>
        <v/>
      </c>
      <c r="T14" s="59">
        <f>T8+T13</f>
        <v/>
      </c>
      <c r="U14" s="59">
        <f>U8+U13</f>
        <v/>
      </c>
      <c r="V14" s="59">
        <f>V8+V13</f>
        <v/>
      </c>
      <c r="W14" s="59">
        <f>W8+W13</f>
        <v/>
      </c>
      <c r="X14" s="59">
        <f>X8+X13</f>
        <v/>
      </c>
      <c r="Y14" s="59">
        <f>Y8+Y13</f>
        <v/>
      </c>
      <c r="Z14" s="59">
        <f>Z8+Z13</f>
        <v/>
      </c>
      <c r="AA14" s="59">
        <f>AA8+AA13</f>
        <v/>
      </c>
      <c r="AB14" s="59">
        <f>AB8+AB13</f>
        <v/>
      </c>
      <c r="AC14" s="59">
        <f>AC8+AC13</f>
        <v/>
      </c>
      <c r="AD14" s="59">
        <f>AD8+AD13</f>
        <v/>
      </c>
      <c r="AE14" s="59">
        <f>AE8+AE13</f>
        <v/>
      </c>
      <c r="AF14" s="59">
        <f>AF8+AF13</f>
        <v/>
      </c>
      <c r="AG14" s="59">
        <f>AG8+AG13</f>
        <v/>
      </c>
      <c r="AH14" s="59">
        <f>AH8+AH13</f>
        <v/>
      </c>
      <c r="AI14" s="59">
        <f>AI8+AI13</f>
        <v/>
      </c>
      <c r="AJ14" s="59">
        <f>AJ8+AJ13</f>
        <v/>
      </c>
      <c r="AK14" s="59">
        <f>AK8+AK13</f>
        <v/>
      </c>
      <c r="AL14" s="59">
        <f>AL8+AL13</f>
        <v/>
      </c>
      <c r="AM14" s="59">
        <f>AM8+AM13</f>
        <v/>
      </c>
      <c r="AN14" s="59">
        <f>AN8+AN13</f>
        <v/>
      </c>
      <c r="AO14" s="59">
        <f>AO8+AO13</f>
        <v/>
      </c>
      <c r="AP14" s="59">
        <f>AP8+AP13</f>
        <v/>
      </c>
      <c r="AQ14" s="59">
        <f>AQ8+AQ13</f>
        <v/>
      </c>
      <c r="AR14" s="59">
        <f>AR8+AR13</f>
        <v/>
      </c>
      <c r="AS14" s="59">
        <f>AS8+AS13</f>
        <v/>
      </c>
      <c r="AT14" s="59">
        <f>AT8+AT13</f>
        <v/>
      </c>
      <c r="AU14" s="59">
        <f>AU8+AU13</f>
        <v/>
      </c>
      <c r="AV14" s="59">
        <f>AV8+AV13</f>
        <v/>
      </c>
      <c r="AW14" s="59">
        <f>AW8+AW13</f>
        <v/>
      </c>
      <c r="AX14" s="59">
        <f>AX8+AX13</f>
        <v/>
      </c>
      <c r="AY14" s="59">
        <f>AY8+AY13</f>
        <v/>
      </c>
      <c r="AZ14" s="59">
        <f>AZ8+AZ13</f>
        <v/>
      </c>
      <c r="BA14" s="59">
        <f>BA8+BA13</f>
        <v/>
      </c>
      <c r="BB14" s="59">
        <f>BB8+BB13</f>
        <v/>
      </c>
      <c r="BC14" s="59">
        <f>BC8+BC13</f>
        <v/>
      </c>
      <c r="BD14" s="59">
        <f>BD8+BD13</f>
        <v/>
      </c>
      <c r="BE14" s="59">
        <f>BE8+BE13</f>
        <v/>
      </c>
      <c r="BF14" s="59">
        <f>BF8+BF13</f>
        <v/>
      </c>
      <c r="BG14" s="59">
        <f>BG8+BG13</f>
        <v/>
      </c>
      <c r="BH14" s="59">
        <f>BH8+BH13</f>
        <v/>
      </c>
      <c r="BI14" s="59">
        <f>BI8+BI13</f>
        <v/>
      </c>
      <c r="BJ14" s="59">
        <f>BJ8+BJ13</f>
        <v/>
      </c>
      <c r="BK14" s="59">
        <f>BK8+BK13</f>
        <v/>
      </c>
    </row>
    <row r="15">
      <c r="A15" s="34" t="inlineStr">
        <is>
          <t>Carga de GPU equivalente (usuários-mês) — pagantes + degustação Starter</t>
        </is>
      </c>
      <c r="D15" s="34">
        <f>D13+D6*(Premissas!$B$38/30)</f>
        <v/>
      </c>
      <c r="E15" s="34">
        <f>E13+E6*(Premissas!$B$38/30)</f>
        <v/>
      </c>
      <c r="F15" s="34">
        <f>F13+F6*(Premissas!$B$38/30)</f>
        <v/>
      </c>
      <c r="G15" s="34">
        <f>G13+G6*(Premissas!$B$38/30)</f>
        <v/>
      </c>
      <c r="H15" s="34">
        <f>H13+H6*(Premissas!$B$38/30)</f>
        <v/>
      </c>
      <c r="I15" s="34">
        <f>I13+I6*(Premissas!$B$38/30)</f>
        <v/>
      </c>
      <c r="J15" s="34">
        <f>J13+J6*(Premissas!$B$38/30)</f>
        <v/>
      </c>
      <c r="K15" s="34">
        <f>K13+K6*(Premissas!$B$38/30)</f>
        <v/>
      </c>
      <c r="L15" s="34">
        <f>L13+L6*(Premissas!$B$38/30)</f>
        <v/>
      </c>
      <c r="M15" s="34">
        <f>M13+M6*(Premissas!$B$38/30)</f>
        <v/>
      </c>
      <c r="N15" s="34">
        <f>N13+N6*(Premissas!$B$38/30)</f>
        <v/>
      </c>
      <c r="O15" s="34">
        <f>O13+O6*(Premissas!$B$38/30)</f>
        <v/>
      </c>
      <c r="P15" s="34">
        <f>P13+P6*(Premissas!$B$38/30)</f>
        <v/>
      </c>
      <c r="Q15" s="34">
        <f>Q13+Q6*(Premissas!$B$38/30)</f>
        <v/>
      </c>
      <c r="R15" s="34">
        <f>R13+R6*(Premissas!$B$38/30)</f>
        <v/>
      </c>
      <c r="S15" s="34">
        <f>S13+S6*(Premissas!$B$38/30)</f>
        <v/>
      </c>
      <c r="T15" s="34">
        <f>T13+T6*(Premissas!$B$38/30)</f>
        <v/>
      </c>
      <c r="U15" s="34">
        <f>U13+U6*(Premissas!$B$38/30)</f>
        <v/>
      </c>
      <c r="V15" s="34">
        <f>V13+V6*(Premissas!$B$38/30)</f>
        <v/>
      </c>
      <c r="W15" s="34">
        <f>W13+W6*(Premissas!$B$38/30)</f>
        <v/>
      </c>
      <c r="X15" s="34">
        <f>X13+X6*(Premissas!$B$38/30)</f>
        <v/>
      </c>
      <c r="Y15" s="34">
        <f>Y13+Y6*(Premissas!$B$38/30)</f>
        <v/>
      </c>
      <c r="Z15" s="34">
        <f>Z13+Z6*(Premissas!$B$38/30)</f>
        <v/>
      </c>
      <c r="AA15" s="34">
        <f>AA13+AA6*(Premissas!$B$38/30)</f>
        <v/>
      </c>
      <c r="AB15" s="34">
        <f>AB13+AB6*(Premissas!$B$38/30)</f>
        <v/>
      </c>
      <c r="AC15" s="34">
        <f>AC13+AC6*(Premissas!$B$38/30)</f>
        <v/>
      </c>
      <c r="AD15" s="34">
        <f>AD13+AD6*(Premissas!$B$38/30)</f>
        <v/>
      </c>
      <c r="AE15" s="34">
        <f>AE13+AE6*(Premissas!$B$38/30)</f>
        <v/>
      </c>
      <c r="AF15" s="34">
        <f>AF13+AF6*(Premissas!$B$38/30)</f>
        <v/>
      </c>
      <c r="AG15" s="34">
        <f>AG13+AG6*(Premissas!$B$38/30)</f>
        <v/>
      </c>
      <c r="AH15" s="34">
        <f>AH13+AH6*(Premissas!$B$38/30)</f>
        <v/>
      </c>
      <c r="AI15" s="34">
        <f>AI13+AI6*(Premissas!$B$38/30)</f>
        <v/>
      </c>
      <c r="AJ15" s="34">
        <f>AJ13+AJ6*(Premissas!$B$38/30)</f>
        <v/>
      </c>
      <c r="AK15" s="34">
        <f>AK13+AK6*(Premissas!$B$38/30)</f>
        <v/>
      </c>
      <c r="AL15" s="34">
        <f>AL13+AL6*(Premissas!$B$38/30)</f>
        <v/>
      </c>
      <c r="AM15" s="34">
        <f>AM13+AM6*(Premissas!$B$38/30)</f>
        <v/>
      </c>
      <c r="AN15" s="34">
        <f>AN13+AN6*(Premissas!$B$38/30)</f>
        <v/>
      </c>
      <c r="AO15" s="34">
        <f>AO13+AO6*(Premissas!$B$38/30)</f>
        <v/>
      </c>
      <c r="AP15" s="34">
        <f>AP13+AP6*(Premissas!$B$38/30)</f>
        <v/>
      </c>
      <c r="AQ15" s="34">
        <f>AQ13+AQ6*(Premissas!$B$38/30)</f>
        <v/>
      </c>
      <c r="AR15" s="34">
        <f>AR13+AR6*(Premissas!$B$38/30)</f>
        <v/>
      </c>
      <c r="AS15" s="34">
        <f>AS13+AS6*(Premissas!$B$38/30)</f>
        <v/>
      </c>
      <c r="AT15" s="34">
        <f>AT13+AT6*(Premissas!$B$38/30)</f>
        <v/>
      </c>
      <c r="AU15" s="34">
        <f>AU13+AU6*(Premissas!$B$38/30)</f>
        <v/>
      </c>
      <c r="AV15" s="34">
        <f>AV13+AV6*(Premissas!$B$38/30)</f>
        <v/>
      </c>
      <c r="AW15" s="34">
        <f>AW13+AW6*(Premissas!$B$38/30)</f>
        <v/>
      </c>
      <c r="AX15" s="34">
        <f>AX13+AX6*(Premissas!$B$38/30)</f>
        <v/>
      </c>
      <c r="AY15" s="34">
        <f>AY13+AY6*(Premissas!$B$38/30)</f>
        <v/>
      </c>
      <c r="AZ15" s="34">
        <f>AZ13+AZ6*(Premissas!$B$38/30)</f>
        <v/>
      </c>
      <c r="BA15" s="34">
        <f>BA13+BA6*(Premissas!$B$38/30)</f>
        <v/>
      </c>
      <c r="BB15" s="34">
        <f>BB13+BB6*(Premissas!$B$38/30)</f>
        <v/>
      </c>
      <c r="BC15" s="34">
        <f>BC13+BC6*(Premissas!$B$38/30)</f>
        <v/>
      </c>
      <c r="BD15" s="34">
        <f>BD13+BD6*(Premissas!$B$38/30)</f>
        <v/>
      </c>
      <c r="BE15" s="34">
        <f>BE13+BE6*(Premissas!$B$38/30)</f>
        <v/>
      </c>
      <c r="BF15" s="34">
        <f>BF13+BF6*(Premissas!$B$38/30)</f>
        <v/>
      </c>
      <c r="BG15" s="34">
        <f>BG13+BG6*(Premissas!$B$38/30)</f>
        <v/>
      </c>
      <c r="BH15" s="34">
        <f>BH13+BH6*(Premissas!$B$38/30)</f>
        <v/>
      </c>
      <c r="BI15" s="34">
        <f>BI13+BI6*(Premissas!$B$38/30)</f>
        <v/>
      </c>
      <c r="BJ15" s="34">
        <f>BJ13+BJ6*(Premissas!$B$38/30)</f>
        <v/>
      </c>
      <c r="BK15" s="34">
        <f>BK13+BK6*(Premissas!$B$38/30)</f>
        <v/>
      </c>
    </row>
    <row r="16" ht="15" customHeight="1" s="35">
      <c r="A16" s="46" t="inlineStr">
        <is>
          <t>── RECEITA ──</t>
        </is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</row>
    <row r="17" ht="15" customHeight="1" s="35">
      <c r="A17" s="43" t="inlineStr">
        <is>
          <t>Receita mensalidade Node: Pro (R$)</t>
        </is>
      </c>
      <c r="B17" s="53" t="inlineStr">
        <is>
          <t>R$</t>
        </is>
      </c>
      <c r="C17" s="58" t="n">
        <v>0</v>
      </c>
      <c r="D17" s="58">
        <f>D11*Premissas!$B$5</f>
        <v/>
      </c>
      <c r="E17" s="58">
        <f>E11*Premissas!$B$5</f>
        <v/>
      </c>
      <c r="F17" s="58">
        <f>F11*Premissas!$B$5</f>
        <v/>
      </c>
      <c r="G17" s="58">
        <f>G11*Premissas!$B$5</f>
        <v/>
      </c>
      <c r="H17" s="58">
        <f>H11*Premissas!$B$5</f>
        <v/>
      </c>
      <c r="I17" s="58">
        <f>I11*Premissas!$B$5</f>
        <v/>
      </c>
      <c r="J17" s="58">
        <f>J11*Premissas!$B$5</f>
        <v/>
      </c>
      <c r="K17" s="58">
        <f>K11*Premissas!$B$5</f>
        <v/>
      </c>
      <c r="L17" s="58">
        <f>L11*Premissas!$B$5</f>
        <v/>
      </c>
      <c r="M17" s="58">
        <f>M11*Premissas!$B$5</f>
        <v/>
      </c>
      <c r="N17" s="58">
        <f>N11*Premissas!$B$5</f>
        <v/>
      </c>
      <c r="O17" s="58">
        <f>O11*Premissas!$B$5</f>
        <v/>
      </c>
      <c r="P17" s="58">
        <f>P11*Premissas!$B$5</f>
        <v/>
      </c>
      <c r="Q17" s="58">
        <f>Q11*Premissas!$B$5</f>
        <v/>
      </c>
      <c r="R17" s="58">
        <f>R11*Premissas!$B$5</f>
        <v/>
      </c>
      <c r="S17" s="58">
        <f>S11*Premissas!$B$5</f>
        <v/>
      </c>
      <c r="T17" s="58">
        <f>T11*Premissas!$B$5</f>
        <v/>
      </c>
      <c r="U17" s="58">
        <f>U11*Premissas!$B$5</f>
        <v/>
      </c>
      <c r="V17" s="58">
        <f>V11*Premissas!$B$5</f>
        <v/>
      </c>
      <c r="W17" s="58">
        <f>W11*Premissas!$B$5</f>
        <v/>
      </c>
      <c r="X17" s="58">
        <f>X11*Premissas!$B$5</f>
        <v/>
      </c>
      <c r="Y17" s="58">
        <f>Y11*Premissas!$B$5</f>
        <v/>
      </c>
      <c r="Z17" s="58">
        <f>Z11*Premissas!$B$5</f>
        <v/>
      </c>
      <c r="AA17" s="58">
        <f>AA11*Premissas!$B$5</f>
        <v/>
      </c>
      <c r="AB17" s="58">
        <f>AB11*Premissas!$B$5</f>
        <v/>
      </c>
      <c r="AC17" s="58">
        <f>AC11*Premissas!$B$5</f>
        <v/>
      </c>
      <c r="AD17" s="58">
        <f>AD11*Premissas!$B$5</f>
        <v/>
      </c>
      <c r="AE17" s="58">
        <f>AE11*Premissas!$B$5</f>
        <v/>
      </c>
      <c r="AF17" s="58">
        <f>AF11*Premissas!$B$5</f>
        <v/>
      </c>
      <c r="AG17" s="58">
        <f>AG11*Premissas!$B$5</f>
        <v/>
      </c>
      <c r="AH17" s="58">
        <f>AH11*Premissas!$B$5</f>
        <v/>
      </c>
      <c r="AI17" s="58">
        <f>AI11*Premissas!$B$5</f>
        <v/>
      </c>
      <c r="AJ17" s="58">
        <f>AJ11*Premissas!$B$5</f>
        <v/>
      </c>
      <c r="AK17" s="58">
        <f>AK11*Premissas!$B$5</f>
        <v/>
      </c>
      <c r="AL17" s="58">
        <f>AL11*Premissas!$B$5</f>
        <v/>
      </c>
      <c r="AM17" s="58">
        <f>AM11*Premissas!$B$5</f>
        <v/>
      </c>
      <c r="AN17" s="58">
        <f>AN11*Premissas!$B$5</f>
        <v/>
      </c>
      <c r="AO17" s="58">
        <f>AO11*Premissas!$B$5</f>
        <v/>
      </c>
      <c r="AP17" s="58">
        <f>AP11*Premissas!$B$5</f>
        <v/>
      </c>
      <c r="AQ17" s="58">
        <f>AQ11*Premissas!$B$5</f>
        <v/>
      </c>
      <c r="AR17" s="58">
        <f>AR11*Premissas!$B$5</f>
        <v/>
      </c>
      <c r="AS17" s="58">
        <f>AS11*Premissas!$B$5</f>
        <v/>
      </c>
      <c r="AT17" s="58">
        <f>AT11*Premissas!$B$5</f>
        <v/>
      </c>
      <c r="AU17" s="58">
        <f>AU11*Premissas!$B$5</f>
        <v/>
      </c>
      <c r="AV17" s="58">
        <f>AV11*Premissas!$B$5</f>
        <v/>
      </c>
      <c r="AW17" s="58">
        <f>AW11*Premissas!$B$5</f>
        <v/>
      </c>
      <c r="AX17" s="58">
        <f>AX11*Premissas!$B$5</f>
        <v/>
      </c>
      <c r="AY17" s="58">
        <f>AY11*Premissas!$B$5</f>
        <v/>
      </c>
      <c r="AZ17" s="58">
        <f>AZ11*Premissas!$B$5</f>
        <v/>
      </c>
      <c r="BA17" s="58">
        <f>BA11*Premissas!$B$5</f>
        <v/>
      </c>
      <c r="BB17" s="58">
        <f>BB11*Premissas!$B$5</f>
        <v/>
      </c>
      <c r="BC17" s="58">
        <f>BC11*Premissas!$B$5</f>
        <v/>
      </c>
      <c r="BD17" s="58">
        <f>BD11*Premissas!$B$5</f>
        <v/>
      </c>
      <c r="BE17" s="58">
        <f>BE11*Premissas!$B$5</f>
        <v/>
      </c>
      <c r="BF17" s="58">
        <f>BF11*Premissas!$B$5</f>
        <v/>
      </c>
      <c r="BG17" s="58">
        <f>BG11*Premissas!$B$5</f>
        <v/>
      </c>
      <c r="BH17" s="58">
        <f>BH11*Premissas!$B$5</f>
        <v/>
      </c>
      <c r="BI17" s="58">
        <f>BI11*Premissas!$B$5</f>
        <v/>
      </c>
      <c r="BJ17" s="58">
        <f>BJ11*Premissas!$B$5</f>
        <v/>
      </c>
      <c r="BK17" s="58">
        <f>BK11*Premissas!$B$5</f>
        <v/>
      </c>
    </row>
    <row r="18" ht="15" customHeight="1" s="35">
      <c r="A18" s="43" t="inlineStr">
        <is>
          <t>Receita mensalidade Node: Institutional (R$)</t>
        </is>
      </c>
      <c r="B18" s="53" t="inlineStr">
        <is>
          <t>R$</t>
        </is>
      </c>
      <c r="C18" s="58" t="n">
        <v>0</v>
      </c>
      <c r="D18" s="58">
        <f>D12*Premissas!$B$6</f>
        <v/>
      </c>
      <c r="E18" s="58">
        <f>E12*Premissas!$B$6</f>
        <v/>
      </c>
      <c r="F18" s="58">
        <f>F12*Premissas!$B$6</f>
        <v/>
      </c>
      <c r="G18" s="58">
        <f>G12*Premissas!$B$6</f>
        <v/>
      </c>
      <c r="H18" s="58">
        <f>H12*Premissas!$B$6</f>
        <v/>
      </c>
      <c r="I18" s="58">
        <f>I12*Premissas!$B$6</f>
        <v/>
      </c>
      <c r="J18" s="58">
        <f>J12*Premissas!$B$6</f>
        <v/>
      </c>
      <c r="K18" s="58">
        <f>K12*Premissas!$B$6</f>
        <v/>
      </c>
      <c r="L18" s="58">
        <f>L12*Premissas!$B$6</f>
        <v/>
      </c>
      <c r="M18" s="58">
        <f>M12*Premissas!$B$6</f>
        <v/>
      </c>
      <c r="N18" s="58">
        <f>N12*Premissas!$B$6</f>
        <v/>
      </c>
      <c r="O18" s="58">
        <f>O12*Premissas!$B$6</f>
        <v/>
      </c>
      <c r="P18" s="58">
        <f>P12*Premissas!$B$6</f>
        <v/>
      </c>
      <c r="Q18" s="58">
        <f>Q12*Premissas!$B$6</f>
        <v/>
      </c>
      <c r="R18" s="58">
        <f>R12*Premissas!$B$6</f>
        <v/>
      </c>
      <c r="S18" s="58">
        <f>S12*Premissas!$B$6</f>
        <v/>
      </c>
      <c r="T18" s="58">
        <f>T12*Premissas!$B$6</f>
        <v/>
      </c>
      <c r="U18" s="58">
        <f>U12*Premissas!$B$6</f>
        <v/>
      </c>
      <c r="V18" s="58">
        <f>V12*Premissas!$B$6</f>
        <v/>
      </c>
      <c r="W18" s="58">
        <f>W12*Premissas!$B$6</f>
        <v/>
      </c>
      <c r="X18" s="58">
        <f>X12*Premissas!$B$6</f>
        <v/>
      </c>
      <c r="Y18" s="58">
        <f>Y12*Premissas!$B$6</f>
        <v/>
      </c>
      <c r="Z18" s="58">
        <f>Z12*Premissas!$B$6</f>
        <v/>
      </c>
      <c r="AA18" s="58">
        <f>AA12*Premissas!$B$6</f>
        <v/>
      </c>
      <c r="AB18" s="58">
        <f>AB12*Premissas!$B$6</f>
        <v/>
      </c>
      <c r="AC18" s="58">
        <f>AC12*Premissas!$B$6</f>
        <v/>
      </c>
      <c r="AD18" s="58">
        <f>AD12*Premissas!$B$6</f>
        <v/>
      </c>
      <c r="AE18" s="58">
        <f>AE12*Premissas!$B$6</f>
        <v/>
      </c>
      <c r="AF18" s="58">
        <f>AF12*Premissas!$B$6</f>
        <v/>
      </c>
      <c r="AG18" s="58">
        <f>AG12*Premissas!$B$6</f>
        <v/>
      </c>
      <c r="AH18" s="58">
        <f>AH12*Premissas!$B$6</f>
        <v/>
      </c>
      <c r="AI18" s="58">
        <f>AI12*Premissas!$B$6</f>
        <v/>
      </c>
      <c r="AJ18" s="58">
        <f>AJ12*Premissas!$B$6</f>
        <v/>
      </c>
      <c r="AK18" s="58">
        <f>AK12*Premissas!$B$6</f>
        <v/>
      </c>
      <c r="AL18" s="58">
        <f>AL12*Premissas!$B$6</f>
        <v/>
      </c>
      <c r="AM18" s="58">
        <f>AM12*Premissas!$B$6</f>
        <v/>
      </c>
      <c r="AN18" s="58">
        <f>AN12*Premissas!$B$6</f>
        <v/>
      </c>
      <c r="AO18" s="58">
        <f>AO12*Premissas!$B$6</f>
        <v/>
      </c>
      <c r="AP18" s="58">
        <f>AP12*Premissas!$B$6</f>
        <v/>
      </c>
      <c r="AQ18" s="58">
        <f>AQ12*Premissas!$B$6</f>
        <v/>
      </c>
      <c r="AR18" s="58">
        <f>AR12*Premissas!$B$6</f>
        <v/>
      </c>
      <c r="AS18" s="58">
        <f>AS12*Premissas!$B$6</f>
        <v/>
      </c>
      <c r="AT18" s="58">
        <f>AT12*Premissas!$B$6</f>
        <v/>
      </c>
      <c r="AU18" s="58">
        <f>AU12*Premissas!$B$6</f>
        <v/>
      </c>
      <c r="AV18" s="58">
        <f>AV12*Premissas!$B$6</f>
        <v/>
      </c>
      <c r="AW18" s="58">
        <f>AW12*Premissas!$B$6</f>
        <v/>
      </c>
      <c r="AX18" s="58">
        <f>AX12*Premissas!$B$6</f>
        <v/>
      </c>
      <c r="AY18" s="58">
        <f>AY12*Premissas!$B$6</f>
        <v/>
      </c>
      <c r="AZ18" s="58">
        <f>AZ12*Premissas!$B$6</f>
        <v/>
      </c>
      <c r="BA18" s="58">
        <f>BA12*Premissas!$B$6</f>
        <v/>
      </c>
      <c r="BB18" s="58">
        <f>BB12*Premissas!$B$6</f>
        <v/>
      </c>
      <c r="BC18" s="58">
        <f>BC12*Premissas!$B$6</f>
        <v/>
      </c>
      <c r="BD18" s="58">
        <f>BD12*Premissas!$B$6</f>
        <v/>
      </c>
      <c r="BE18" s="58">
        <f>BE12*Premissas!$B$6</f>
        <v/>
      </c>
      <c r="BF18" s="58">
        <f>BF12*Premissas!$B$6</f>
        <v/>
      </c>
      <c r="BG18" s="58">
        <f>BG12*Premissas!$B$6</f>
        <v/>
      </c>
      <c r="BH18" s="58">
        <f>BH12*Premissas!$B$6</f>
        <v/>
      </c>
      <c r="BI18" s="58">
        <f>BI12*Premissas!$B$6</f>
        <v/>
      </c>
      <c r="BJ18" s="58">
        <f>BJ12*Premissas!$B$6</f>
        <v/>
      </c>
      <c r="BK18" s="58">
        <f>BK12*Premissas!$B$6</f>
        <v/>
      </c>
    </row>
    <row r="19" ht="15" customHeight="1" s="35">
      <c r="A19" s="43" t="inlineStr">
        <is>
          <t>Lotes negociados no mês — Pro+Institutional (lotes)</t>
        </is>
      </c>
      <c r="B19" s="53" t="inlineStr">
        <is>
          <t>lotes</t>
        </is>
      </c>
      <c r="C19" s="60" t="n">
        <v>0</v>
      </c>
      <c r="D19" s="60">
        <f>D13*Premissas!$B$18</f>
        <v/>
      </c>
      <c r="E19" s="60">
        <f>E13*Premissas!$B$18</f>
        <v/>
      </c>
      <c r="F19" s="60">
        <f>F13*Premissas!$B$18</f>
        <v/>
      </c>
      <c r="G19" s="60">
        <f>G13*Premissas!$B$18</f>
        <v/>
      </c>
      <c r="H19" s="60">
        <f>H13*Premissas!$B$18</f>
        <v/>
      </c>
      <c r="I19" s="60">
        <f>I13*Premissas!$B$18</f>
        <v/>
      </c>
      <c r="J19" s="60">
        <f>J13*Premissas!$B$18</f>
        <v/>
      </c>
      <c r="K19" s="60">
        <f>K13*Premissas!$B$18</f>
        <v/>
      </c>
      <c r="L19" s="60">
        <f>L13*Premissas!$B$18</f>
        <v/>
      </c>
      <c r="M19" s="60">
        <f>M13*Premissas!$B$18</f>
        <v/>
      </c>
      <c r="N19" s="60">
        <f>N13*Premissas!$B$18</f>
        <v/>
      </c>
      <c r="O19" s="60">
        <f>O13*Premissas!$B$18</f>
        <v/>
      </c>
      <c r="P19" s="60">
        <f>P13*Premissas!$B$18</f>
        <v/>
      </c>
      <c r="Q19" s="60">
        <f>Q13*Premissas!$B$18</f>
        <v/>
      </c>
      <c r="R19" s="60">
        <f>R13*Premissas!$B$18</f>
        <v/>
      </c>
      <c r="S19" s="60">
        <f>S13*Premissas!$B$18</f>
        <v/>
      </c>
      <c r="T19" s="60">
        <f>T13*Premissas!$B$18</f>
        <v/>
      </c>
      <c r="U19" s="60">
        <f>U13*Premissas!$B$18</f>
        <v/>
      </c>
      <c r="V19" s="60">
        <f>V13*Premissas!$B$18</f>
        <v/>
      </c>
      <c r="W19" s="60">
        <f>W13*Premissas!$B$18</f>
        <v/>
      </c>
      <c r="X19" s="60">
        <f>X13*Premissas!$B$18</f>
        <v/>
      </c>
      <c r="Y19" s="60">
        <f>Y13*Premissas!$B$18</f>
        <v/>
      </c>
      <c r="Z19" s="60">
        <f>Z13*Premissas!$B$18</f>
        <v/>
      </c>
      <c r="AA19" s="60">
        <f>AA13*Premissas!$B$18</f>
        <v/>
      </c>
      <c r="AB19" s="60">
        <f>AB13*Premissas!$B$18</f>
        <v/>
      </c>
      <c r="AC19" s="60">
        <f>AC13*Premissas!$B$18</f>
        <v/>
      </c>
      <c r="AD19" s="60">
        <f>AD13*Premissas!$B$18</f>
        <v/>
      </c>
      <c r="AE19" s="60">
        <f>AE13*Premissas!$B$18</f>
        <v/>
      </c>
      <c r="AF19" s="60">
        <f>AF13*Premissas!$B$18</f>
        <v/>
      </c>
      <c r="AG19" s="60">
        <f>AG13*Premissas!$B$18</f>
        <v/>
      </c>
      <c r="AH19" s="60">
        <f>AH13*Premissas!$B$18</f>
        <v/>
      </c>
      <c r="AI19" s="60">
        <f>AI13*Premissas!$B$18</f>
        <v/>
      </c>
      <c r="AJ19" s="60">
        <f>AJ13*Premissas!$B$18</f>
        <v/>
      </c>
      <c r="AK19" s="60">
        <f>AK13*Premissas!$B$18</f>
        <v/>
      </c>
      <c r="AL19" s="60">
        <f>AL13*Premissas!$B$18</f>
        <v/>
      </c>
      <c r="AM19" s="60">
        <f>AM13*Premissas!$B$18</f>
        <v/>
      </c>
      <c r="AN19" s="60">
        <f>AN13*Premissas!$B$18</f>
        <v/>
      </c>
      <c r="AO19" s="60">
        <f>AO13*Premissas!$B$18</f>
        <v/>
      </c>
      <c r="AP19" s="60">
        <f>AP13*Premissas!$B$18</f>
        <v/>
      </c>
      <c r="AQ19" s="60">
        <f>AQ13*Premissas!$B$18</f>
        <v/>
      </c>
      <c r="AR19" s="60">
        <f>AR13*Premissas!$B$18</f>
        <v/>
      </c>
      <c r="AS19" s="60">
        <f>AS13*Premissas!$B$18</f>
        <v/>
      </c>
      <c r="AT19" s="60">
        <f>AT13*Premissas!$B$18</f>
        <v/>
      </c>
      <c r="AU19" s="60">
        <f>AU13*Premissas!$B$18</f>
        <v/>
      </c>
      <c r="AV19" s="60">
        <f>AV13*Premissas!$B$18</f>
        <v/>
      </c>
      <c r="AW19" s="60">
        <f>AW13*Premissas!$B$18</f>
        <v/>
      </c>
      <c r="AX19" s="60">
        <f>AX13*Premissas!$B$18</f>
        <v/>
      </c>
      <c r="AY19" s="60">
        <f>AY13*Premissas!$B$18</f>
        <v/>
      </c>
      <c r="AZ19" s="60">
        <f>AZ13*Premissas!$B$18</f>
        <v/>
      </c>
      <c r="BA19" s="60">
        <f>BA13*Premissas!$B$18</f>
        <v/>
      </c>
      <c r="BB19" s="60">
        <f>BB13*Premissas!$B$18</f>
        <v/>
      </c>
      <c r="BC19" s="60">
        <f>BC13*Premissas!$B$18</f>
        <v/>
      </c>
      <c r="BD19" s="60">
        <f>BD13*Premissas!$B$18</f>
        <v/>
      </c>
      <c r="BE19" s="60">
        <f>BE13*Premissas!$B$18</f>
        <v/>
      </c>
      <c r="BF19" s="60">
        <f>BF13*Premissas!$B$18</f>
        <v/>
      </c>
      <c r="BG19" s="60">
        <f>BG13*Premissas!$B$18</f>
        <v/>
      </c>
      <c r="BH19" s="60">
        <f>BH13*Premissas!$B$18</f>
        <v/>
      </c>
      <c r="BI19" s="60">
        <f>BI13*Premissas!$B$18</f>
        <v/>
      </c>
      <c r="BJ19" s="60">
        <f>BJ13*Premissas!$B$18</f>
        <v/>
      </c>
      <c r="BK19" s="60">
        <f>BK13*Premissas!$B$18</f>
        <v/>
      </c>
    </row>
    <row r="20" ht="15" customHeight="1" s="35">
      <c r="A20" s="43" t="inlineStr">
        <is>
          <t>Lotes negociados no mês — Starter (lotes)</t>
        </is>
      </c>
      <c r="B20" s="53" t="inlineStr">
        <is>
          <t>lotes</t>
        </is>
      </c>
      <c r="C20" s="60" t="n">
        <v>0</v>
      </c>
      <c r="D20" s="60">
        <f>D6*Premissas!$B$19</f>
        <v/>
      </c>
      <c r="E20" s="60">
        <f>E6*Premissas!$B$19</f>
        <v/>
      </c>
      <c r="F20" s="60">
        <f>F6*Premissas!$B$19</f>
        <v/>
      </c>
      <c r="G20" s="60">
        <f>G6*Premissas!$B$19</f>
        <v/>
      </c>
      <c r="H20" s="60">
        <f>H6*Premissas!$B$19</f>
        <v/>
      </c>
      <c r="I20" s="60">
        <f>I6*Premissas!$B$19</f>
        <v/>
      </c>
      <c r="J20" s="60">
        <f>J6*Premissas!$B$19</f>
        <v/>
      </c>
      <c r="K20" s="60">
        <f>K6*Premissas!$B$19</f>
        <v/>
      </c>
      <c r="L20" s="60">
        <f>L6*Premissas!$B$19</f>
        <v/>
      </c>
      <c r="M20" s="60">
        <f>M6*Premissas!$B$19</f>
        <v/>
      </c>
      <c r="N20" s="60">
        <f>N6*Premissas!$B$19</f>
        <v/>
      </c>
      <c r="O20" s="60">
        <f>O6*Premissas!$B$19</f>
        <v/>
      </c>
      <c r="P20" s="60">
        <f>P6*Premissas!$B$19</f>
        <v/>
      </c>
      <c r="Q20" s="60">
        <f>Q6*Premissas!$B$19</f>
        <v/>
      </c>
      <c r="R20" s="60">
        <f>R6*Premissas!$B$19</f>
        <v/>
      </c>
      <c r="S20" s="60">
        <f>S6*Premissas!$B$19</f>
        <v/>
      </c>
      <c r="T20" s="60">
        <f>T6*Premissas!$B$19</f>
        <v/>
      </c>
      <c r="U20" s="60">
        <f>U6*Premissas!$B$19</f>
        <v/>
      </c>
      <c r="V20" s="60">
        <f>V6*Premissas!$B$19</f>
        <v/>
      </c>
      <c r="W20" s="60">
        <f>W6*Premissas!$B$19</f>
        <v/>
      </c>
      <c r="X20" s="60">
        <f>X6*Premissas!$B$19</f>
        <v/>
      </c>
      <c r="Y20" s="60">
        <f>Y6*Premissas!$B$19</f>
        <v/>
      </c>
      <c r="Z20" s="60">
        <f>Z6*Premissas!$B$19</f>
        <v/>
      </c>
      <c r="AA20" s="60">
        <f>AA6*Premissas!$B$19</f>
        <v/>
      </c>
      <c r="AB20" s="60">
        <f>AB6*Premissas!$B$19</f>
        <v/>
      </c>
      <c r="AC20" s="60">
        <f>AC6*Premissas!$B$19</f>
        <v/>
      </c>
      <c r="AD20" s="60">
        <f>AD6*Premissas!$B$19</f>
        <v/>
      </c>
      <c r="AE20" s="60">
        <f>AE6*Premissas!$B$19</f>
        <v/>
      </c>
      <c r="AF20" s="60">
        <f>AF6*Premissas!$B$19</f>
        <v/>
      </c>
      <c r="AG20" s="60">
        <f>AG6*Premissas!$B$19</f>
        <v/>
      </c>
      <c r="AH20" s="60">
        <f>AH6*Premissas!$B$19</f>
        <v/>
      </c>
      <c r="AI20" s="60">
        <f>AI6*Premissas!$B$19</f>
        <v/>
      </c>
      <c r="AJ20" s="60">
        <f>AJ6*Premissas!$B$19</f>
        <v/>
      </c>
      <c r="AK20" s="60">
        <f>AK6*Premissas!$B$19</f>
        <v/>
      </c>
      <c r="AL20" s="60">
        <f>AL6*Premissas!$B$19</f>
        <v/>
      </c>
      <c r="AM20" s="60">
        <f>AM6*Premissas!$B$19</f>
        <v/>
      </c>
      <c r="AN20" s="60">
        <f>AN6*Premissas!$B$19</f>
        <v/>
      </c>
      <c r="AO20" s="60">
        <f>AO6*Premissas!$B$19</f>
        <v/>
      </c>
      <c r="AP20" s="60">
        <f>AP6*Premissas!$B$19</f>
        <v/>
      </c>
      <c r="AQ20" s="60">
        <f>AQ6*Premissas!$B$19</f>
        <v/>
      </c>
      <c r="AR20" s="60">
        <f>AR6*Premissas!$B$19</f>
        <v/>
      </c>
      <c r="AS20" s="60">
        <f>AS6*Premissas!$B$19</f>
        <v/>
      </c>
      <c r="AT20" s="60">
        <f>AT6*Premissas!$B$19</f>
        <v/>
      </c>
      <c r="AU20" s="60">
        <f>AU6*Premissas!$B$19</f>
        <v/>
      </c>
      <c r="AV20" s="60">
        <f>AV6*Premissas!$B$19</f>
        <v/>
      </c>
      <c r="AW20" s="60">
        <f>AW6*Premissas!$B$19</f>
        <v/>
      </c>
      <c r="AX20" s="60">
        <f>AX6*Premissas!$B$19</f>
        <v/>
      </c>
      <c r="AY20" s="60">
        <f>AY6*Premissas!$B$19</f>
        <v/>
      </c>
      <c r="AZ20" s="60">
        <f>AZ6*Premissas!$B$19</f>
        <v/>
      </c>
      <c r="BA20" s="60">
        <f>BA6*Premissas!$B$19</f>
        <v/>
      </c>
      <c r="BB20" s="60">
        <f>BB6*Premissas!$B$19</f>
        <v/>
      </c>
      <c r="BC20" s="60">
        <f>BC6*Premissas!$B$19</f>
        <v/>
      </c>
      <c r="BD20" s="60">
        <f>BD6*Premissas!$B$19</f>
        <v/>
      </c>
      <c r="BE20" s="60">
        <f>BE6*Premissas!$B$19</f>
        <v/>
      </c>
      <c r="BF20" s="60">
        <f>BF6*Premissas!$B$19</f>
        <v/>
      </c>
      <c r="BG20" s="60">
        <f>BG6*Premissas!$B$19</f>
        <v/>
      </c>
      <c r="BH20" s="60">
        <f>BH6*Premissas!$B$19</f>
        <v/>
      </c>
      <c r="BI20" s="60">
        <f>BI6*Premissas!$B$19</f>
        <v/>
      </c>
      <c r="BJ20" s="60">
        <f>BJ6*Premissas!$B$19</f>
        <v/>
      </c>
      <c r="BK20" s="60">
        <f>BK6*Premissas!$B$19</f>
        <v/>
      </c>
    </row>
    <row r="21" ht="15" customHeight="1" s="35">
      <c r="A21" s="43" t="inlineStr">
        <is>
          <t>Receita comissão própria — só sobre volume Starter (R$)</t>
        </is>
      </c>
      <c r="B21" s="53" t="inlineStr">
        <is>
          <t>R$</t>
        </is>
      </c>
      <c r="C21" s="58" t="n">
        <v>0</v>
      </c>
      <c r="D21" s="58">
        <f>(D19+D20)*Premissas!$B$22</f>
        <v/>
      </c>
      <c r="E21" s="58">
        <f>(E19+E20)*Premissas!$B$22</f>
        <v/>
      </c>
      <c r="F21" s="58">
        <f>(F19+F20)*Premissas!$B$22</f>
        <v/>
      </c>
      <c r="G21" s="58">
        <f>(G19+G20)*Premissas!$B$22</f>
        <v/>
      </c>
      <c r="H21" s="58">
        <f>(H19+H20)*Premissas!$B$22</f>
        <v/>
      </c>
      <c r="I21" s="58">
        <f>(I19+I20)*Premissas!$B$22</f>
        <v/>
      </c>
      <c r="J21" s="58">
        <f>(J19+J20)*Premissas!$B$22</f>
        <v/>
      </c>
      <c r="K21" s="58">
        <f>(K19+K20)*Premissas!$B$22</f>
        <v/>
      </c>
      <c r="L21" s="58">
        <f>(L19+L20)*Premissas!$B$22</f>
        <v/>
      </c>
      <c r="M21" s="58">
        <f>(M19+M20)*Premissas!$B$22</f>
        <v/>
      </c>
      <c r="N21" s="58">
        <f>(N19+N20)*Premissas!$B$22</f>
        <v/>
      </c>
      <c r="O21" s="58">
        <f>(O19+O20)*Premissas!$B$22</f>
        <v/>
      </c>
      <c r="P21" s="58">
        <f>(P19+P20)*Premissas!$B$22</f>
        <v/>
      </c>
      <c r="Q21" s="58">
        <f>(Q19+Q20)*Premissas!$B$22</f>
        <v/>
      </c>
      <c r="R21" s="58">
        <f>(R19+R20)*Premissas!$B$22</f>
        <v/>
      </c>
      <c r="S21" s="58">
        <f>(S19+S20)*Premissas!$B$22</f>
        <v/>
      </c>
      <c r="T21" s="58">
        <f>(T19+T20)*Premissas!$B$22</f>
        <v/>
      </c>
      <c r="U21" s="58">
        <f>(U19+U20)*Premissas!$B$22</f>
        <v/>
      </c>
      <c r="V21" s="58">
        <f>(V19+V20)*Premissas!$B$22</f>
        <v/>
      </c>
      <c r="W21" s="58">
        <f>(W19+W20)*Premissas!$B$22</f>
        <v/>
      </c>
      <c r="X21" s="58">
        <f>(X19+X20)*Premissas!$B$22</f>
        <v/>
      </c>
      <c r="Y21" s="58">
        <f>(Y19+Y20)*Premissas!$B$22</f>
        <v/>
      </c>
      <c r="Z21" s="58">
        <f>(Z19+Z20)*Premissas!$B$22</f>
        <v/>
      </c>
      <c r="AA21" s="58">
        <f>(AA19+AA20)*Premissas!$B$22</f>
        <v/>
      </c>
      <c r="AB21" s="58">
        <f>(AB19+AB20)*Premissas!$B$22</f>
        <v/>
      </c>
      <c r="AC21" s="58">
        <f>(AC19+AC20)*Premissas!$B$22</f>
        <v/>
      </c>
      <c r="AD21" s="58">
        <f>(AD19+AD20)*Premissas!$B$22</f>
        <v/>
      </c>
      <c r="AE21" s="58">
        <f>(AE19+AE20)*Premissas!$B$22</f>
        <v/>
      </c>
      <c r="AF21" s="58">
        <f>(AF19+AF20)*Premissas!$B$22</f>
        <v/>
      </c>
      <c r="AG21" s="58">
        <f>(AG19+AG20)*Premissas!$B$22</f>
        <v/>
      </c>
      <c r="AH21" s="58">
        <f>(AH19+AH20)*Premissas!$B$22</f>
        <v/>
      </c>
      <c r="AI21" s="58">
        <f>(AI19+AI20)*Premissas!$B$22</f>
        <v/>
      </c>
      <c r="AJ21" s="58">
        <f>(AJ19+AJ20)*Premissas!$B$22</f>
        <v/>
      </c>
      <c r="AK21" s="58">
        <f>(AK19+AK20)*Premissas!$B$22</f>
        <v/>
      </c>
      <c r="AL21" s="58">
        <f>(AL19+AL20)*Premissas!$B$22</f>
        <v/>
      </c>
      <c r="AM21" s="58">
        <f>(AM19+AM20)*Premissas!$B$22</f>
        <v/>
      </c>
      <c r="AN21" s="58">
        <f>(AN19+AN20)*Premissas!$B$22</f>
        <v/>
      </c>
      <c r="AO21" s="58">
        <f>(AO19+AO20)*Premissas!$B$22</f>
        <v/>
      </c>
      <c r="AP21" s="58">
        <f>(AP19+AP20)*Premissas!$B$22</f>
        <v/>
      </c>
      <c r="AQ21" s="58">
        <f>(AQ19+AQ20)*Premissas!$B$22</f>
        <v/>
      </c>
      <c r="AR21" s="58">
        <f>(AR19+AR20)*Premissas!$B$22</f>
        <v/>
      </c>
      <c r="AS21" s="58">
        <f>(AS19+AS20)*Premissas!$B$22</f>
        <v/>
      </c>
      <c r="AT21" s="58">
        <f>(AT19+AT20)*Premissas!$B$22</f>
        <v/>
      </c>
      <c r="AU21" s="58">
        <f>(AU19+AU20)*Premissas!$B$22</f>
        <v/>
      </c>
      <c r="AV21" s="58">
        <f>(AV19+AV20)*Premissas!$B$22</f>
        <v/>
      </c>
      <c r="AW21" s="58">
        <f>(AW19+AW20)*Premissas!$B$22</f>
        <v/>
      </c>
      <c r="AX21" s="58">
        <f>(AX19+AX20)*Premissas!$B$22</f>
        <v/>
      </c>
      <c r="AY21" s="58">
        <f>(AY19+AY20)*Premissas!$B$22</f>
        <v/>
      </c>
      <c r="AZ21" s="58">
        <f>(AZ19+AZ20)*Premissas!$B$22</f>
        <v/>
      </c>
      <c r="BA21" s="58">
        <f>(BA19+BA20)*Premissas!$B$22</f>
        <v/>
      </c>
      <c r="BB21" s="58">
        <f>(BB19+BB20)*Premissas!$B$22</f>
        <v/>
      </c>
      <c r="BC21" s="58">
        <f>(BC19+BC20)*Premissas!$B$22</f>
        <v/>
      </c>
      <c r="BD21" s="58">
        <f>(BD19+BD20)*Premissas!$B$22</f>
        <v/>
      </c>
      <c r="BE21" s="58">
        <f>(BE19+BE20)*Premissas!$B$22</f>
        <v/>
      </c>
      <c r="BF21" s="58">
        <f>(BF19+BF20)*Premissas!$B$22</f>
        <v/>
      </c>
      <c r="BG21" s="58">
        <f>(BG19+BG20)*Premissas!$B$22</f>
        <v/>
      </c>
      <c r="BH21" s="58">
        <f>(BH19+BH20)*Premissas!$B$22</f>
        <v/>
      </c>
      <c r="BI21" s="58">
        <f>(BI19+BI20)*Premissas!$B$22</f>
        <v/>
      </c>
      <c r="BJ21" s="58">
        <f>(BJ19+BJ20)*Premissas!$B$22</f>
        <v/>
      </c>
      <c r="BK21" s="58">
        <f>(BK19+BK20)*Premissas!$B$22</f>
        <v/>
      </c>
    </row>
    <row r="22" ht="15" customHeight="1" s="35">
      <c r="A22" s="43" t="inlineStr">
        <is>
          <t>Receita rebate IB — sobre todo o volume (R$)</t>
        </is>
      </c>
      <c r="B22" s="53" t="inlineStr">
        <is>
          <t>R$</t>
        </is>
      </c>
      <c r="C22" s="58" t="n">
        <v>0</v>
      </c>
      <c r="D22" s="58">
        <f>(D19+D20)*Premissas!$B$23</f>
        <v/>
      </c>
      <c r="E22" s="58">
        <f>(E19+E20)*Premissas!$B$23</f>
        <v/>
      </c>
      <c r="F22" s="58">
        <f>(F19+F20)*Premissas!$B$23</f>
        <v/>
      </c>
      <c r="G22" s="58">
        <f>(G19+G20)*Premissas!$B$23</f>
        <v/>
      </c>
      <c r="H22" s="58">
        <f>(H19+H20)*Premissas!$B$23</f>
        <v/>
      </c>
      <c r="I22" s="58">
        <f>(I19+I20)*Premissas!$B$23</f>
        <v/>
      </c>
      <c r="J22" s="58">
        <f>(J19+J20)*Premissas!$B$23</f>
        <v/>
      </c>
      <c r="K22" s="58">
        <f>(K19+K20)*Premissas!$B$23</f>
        <v/>
      </c>
      <c r="L22" s="58">
        <f>(L19+L20)*Premissas!$B$23</f>
        <v/>
      </c>
      <c r="M22" s="58">
        <f>(M19+M20)*Premissas!$B$23</f>
        <v/>
      </c>
      <c r="N22" s="58">
        <f>(N19+N20)*Premissas!$B$23</f>
        <v/>
      </c>
      <c r="O22" s="58">
        <f>(O19+O20)*Premissas!$B$23</f>
        <v/>
      </c>
      <c r="P22" s="58">
        <f>(P19+P20)*Premissas!$B$23</f>
        <v/>
      </c>
      <c r="Q22" s="58">
        <f>(Q19+Q20)*Premissas!$B$23</f>
        <v/>
      </c>
      <c r="R22" s="58">
        <f>(R19+R20)*Premissas!$B$23</f>
        <v/>
      </c>
      <c r="S22" s="58">
        <f>(S19+S20)*Premissas!$B$23</f>
        <v/>
      </c>
      <c r="T22" s="58">
        <f>(T19+T20)*Premissas!$B$23</f>
        <v/>
      </c>
      <c r="U22" s="58">
        <f>(U19+U20)*Premissas!$B$23</f>
        <v/>
      </c>
      <c r="V22" s="58">
        <f>(V19+V20)*Premissas!$B$23</f>
        <v/>
      </c>
      <c r="W22" s="58">
        <f>(W19+W20)*Premissas!$B$23</f>
        <v/>
      </c>
      <c r="X22" s="58">
        <f>(X19+X20)*Premissas!$B$23</f>
        <v/>
      </c>
      <c r="Y22" s="58">
        <f>(Y19+Y20)*Premissas!$B$23</f>
        <v/>
      </c>
      <c r="Z22" s="58">
        <f>(Z19+Z20)*Premissas!$B$23</f>
        <v/>
      </c>
      <c r="AA22" s="58">
        <f>(AA19+AA20)*Premissas!$B$23</f>
        <v/>
      </c>
      <c r="AB22" s="58">
        <f>(AB19+AB20)*Premissas!$B$23</f>
        <v/>
      </c>
      <c r="AC22" s="58">
        <f>(AC19+AC20)*Premissas!$B$23</f>
        <v/>
      </c>
      <c r="AD22" s="58">
        <f>(AD19+AD20)*Premissas!$B$23</f>
        <v/>
      </c>
      <c r="AE22" s="58">
        <f>(AE19+AE20)*Premissas!$B$23</f>
        <v/>
      </c>
      <c r="AF22" s="58">
        <f>(AF19+AF20)*Premissas!$B$23</f>
        <v/>
      </c>
      <c r="AG22" s="58">
        <f>(AG19+AG20)*Premissas!$B$23</f>
        <v/>
      </c>
      <c r="AH22" s="58">
        <f>(AH19+AH20)*Premissas!$B$23</f>
        <v/>
      </c>
      <c r="AI22" s="58">
        <f>(AI19+AI20)*Premissas!$B$23</f>
        <v/>
      </c>
      <c r="AJ22" s="58">
        <f>(AJ19+AJ20)*Premissas!$B$23</f>
        <v/>
      </c>
      <c r="AK22" s="58">
        <f>(AK19+AK20)*Premissas!$B$23</f>
        <v/>
      </c>
      <c r="AL22" s="58">
        <f>(AL19+AL20)*Premissas!$B$23</f>
        <v/>
      </c>
      <c r="AM22" s="58">
        <f>(AM19+AM20)*Premissas!$B$23</f>
        <v/>
      </c>
      <c r="AN22" s="58">
        <f>(AN19+AN20)*Premissas!$B$23</f>
        <v/>
      </c>
      <c r="AO22" s="58">
        <f>(AO19+AO20)*Premissas!$B$23</f>
        <v/>
      </c>
      <c r="AP22" s="58">
        <f>(AP19+AP20)*Premissas!$B$23</f>
        <v/>
      </c>
      <c r="AQ22" s="58">
        <f>(AQ19+AQ20)*Premissas!$B$23</f>
        <v/>
      </c>
      <c r="AR22" s="58">
        <f>(AR19+AR20)*Premissas!$B$23</f>
        <v/>
      </c>
      <c r="AS22" s="58">
        <f>(AS19+AS20)*Premissas!$B$23</f>
        <v/>
      </c>
      <c r="AT22" s="58">
        <f>(AT19+AT20)*Premissas!$B$23</f>
        <v/>
      </c>
      <c r="AU22" s="58">
        <f>(AU19+AU20)*Premissas!$B$23</f>
        <v/>
      </c>
      <c r="AV22" s="58">
        <f>(AV19+AV20)*Premissas!$B$23</f>
        <v/>
      </c>
      <c r="AW22" s="58">
        <f>(AW19+AW20)*Premissas!$B$23</f>
        <v/>
      </c>
      <c r="AX22" s="58">
        <f>(AX19+AX20)*Premissas!$B$23</f>
        <v/>
      </c>
      <c r="AY22" s="58">
        <f>(AY19+AY20)*Premissas!$B$23</f>
        <v/>
      </c>
      <c r="AZ22" s="58">
        <f>(AZ19+AZ20)*Premissas!$B$23</f>
        <v/>
      </c>
      <c r="BA22" s="58">
        <f>(BA19+BA20)*Premissas!$B$23</f>
        <v/>
      </c>
      <c r="BB22" s="58">
        <f>(BB19+BB20)*Premissas!$B$23</f>
        <v/>
      </c>
      <c r="BC22" s="58">
        <f>(BC19+BC20)*Premissas!$B$23</f>
        <v/>
      </c>
      <c r="BD22" s="58">
        <f>(BD19+BD20)*Premissas!$B$23</f>
        <v/>
      </c>
      <c r="BE22" s="58">
        <f>(BE19+BE20)*Premissas!$B$23</f>
        <v/>
      </c>
      <c r="BF22" s="58">
        <f>(BF19+BF20)*Premissas!$B$23</f>
        <v/>
      </c>
      <c r="BG22" s="58">
        <f>(BG19+BG20)*Premissas!$B$23</f>
        <v/>
      </c>
      <c r="BH22" s="58">
        <f>(BH19+BH20)*Premissas!$B$23</f>
        <v/>
      </c>
      <c r="BI22" s="58">
        <f>(BI19+BI20)*Premissas!$B$23</f>
        <v/>
      </c>
      <c r="BJ22" s="58">
        <f>(BJ19+BJ20)*Premissas!$B$23</f>
        <v/>
      </c>
      <c r="BK22" s="58">
        <f>(BK19+BK20)*Premissas!$B$23</f>
        <v/>
      </c>
    </row>
    <row r="23" ht="15" customHeight="1" s="35">
      <c r="A23" s="43" t="inlineStr">
        <is>
          <t>Receita marketplace (R$)</t>
        </is>
      </c>
      <c r="B23" s="53" t="inlineStr">
        <is>
          <t>R$</t>
        </is>
      </c>
      <c r="C23" s="58" t="n">
        <v>0</v>
      </c>
      <c r="D23" s="58">
        <f>D13*Premissas!$B$24</f>
        <v/>
      </c>
      <c r="E23" s="58">
        <f>E13*Premissas!$B$24</f>
        <v/>
      </c>
      <c r="F23" s="58">
        <f>F13*Premissas!$B$24</f>
        <v/>
      </c>
      <c r="G23" s="58">
        <f>G13*Premissas!$B$24</f>
        <v/>
      </c>
      <c r="H23" s="58">
        <f>H13*Premissas!$B$24</f>
        <v/>
      </c>
      <c r="I23" s="58">
        <f>I13*Premissas!$B$24</f>
        <v/>
      </c>
      <c r="J23" s="58">
        <f>J13*Premissas!$B$24</f>
        <v/>
      </c>
      <c r="K23" s="58">
        <f>K13*Premissas!$B$24</f>
        <v/>
      </c>
      <c r="L23" s="58">
        <f>L13*Premissas!$B$24</f>
        <v/>
      </c>
      <c r="M23" s="58">
        <f>M13*Premissas!$B$24</f>
        <v/>
      </c>
      <c r="N23" s="58">
        <f>N13*Premissas!$B$24</f>
        <v/>
      </c>
      <c r="O23" s="58">
        <f>O13*Premissas!$B$24</f>
        <v/>
      </c>
      <c r="P23" s="58">
        <f>P13*Premissas!$B$24</f>
        <v/>
      </c>
      <c r="Q23" s="58">
        <f>Q13*Premissas!$B$24</f>
        <v/>
      </c>
      <c r="R23" s="58">
        <f>R13*Premissas!$B$24</f>
        <v/>
      </c>
      <c r="S23" s="58">
        <f>S13*Premissas!$B$24</f>
        <v/>
      </c>
      <c r="T23" s="58">
        <f>T13*Premissas!$B$24</f>
        <v/>
      </c>
      <c r="U23" s="58">
        <f>U13*Premissas!$B$24</f>
        <v/>
      </c>
      <c r="V23" s="58">
        <f>V13*Premissas!$B$24</f>
        <v/>
      </c>
      <c r="W23" s="58">
        <f>W13*Premissas!$B$24</f>
        <v/>
      </c>
      <c r="X23" s="58">
        <f>X13*Premissas!$B$24</f>
        <v/>
      </c>
      <c r="Y23" s="58">
        <f>Y13*Premissas!$B$24</f>
        <v/>
      </c>
      <c r="Z23" s="58">
        <f>Z13*Premissas!$B$24</f>
        <v/>
      </c>
      <c r="AA23" s="58">
        <f>AA13*Premissas!$B$24</f>
        <v/>
      </c>
      <c r="AB23" s="58">
        <f>AB13*Premissas!$B$24</f>
        <v/>
      </c>
      <c r="AC23" s="58">
        <f>AC13*Premissas!$B$24</f>
        <v/>
      </c>
      <c r="AD23" s="58">
        <f>AD13*Premissas!$B$24</f>
        <v/>
      </c>
      <c r="AE23" s="58">
        <f>AE13*Premissas!$B$24</f>
        <v/>
      </c>
      <c r="AF23" s="58">
        <f>AF13*Premissas!$B$24</f>
        <v/>
      </c>
      <c r="AG23" s="58">
        <f>AG13*Premissas!$B$24</f>
        <v/>
      </c>
      <c r="AH23" s="58">
        <f>AH13*Premissas!$B$24</f>
        <v/>
      </c>
      <c r="AI23" s="58">
        <f>AI13*Premissas!$B$24</f>
        <v/>
      </c>
      <c r="AJ23" s="58">
        <f>AJ13*Premissas!$B$24</f>
        <v/>
      </c>
      <c r="AK23" s="58">
        <f>AK13*Premissas!$B$24</f>
        <v/>
      </c>
      <c r="AL23" s="58">
        <f>AL13*Premissas!$B$24</f>
        <v/>
      </c>
      <c r="AM23" s="58">
        <f>AM13*Premissas!$B$24</f>
        <v/>
      </c>
      <c r="AN23" s="58">
        <f>AN13*Premissas!$B$24</f>
        <v/>
      </c>
      <c r="AO23" s="58">
        <f>AO13*Premissas!$B$24</f>
        <v/>
      </c>
      <c r="AP23" s="58">
        <f>AP13*Premissas!$B$24</f>
        <v/>
      </c>
      <c r="AQ23" s="58">
        <f>AQ13*Premissas!$B$24</f>
        <v/>
      </c>
      <c r="AR23" s="58">
        <f>AR13*Premissas!$B$24</f>
        <v/>
      </c>
      <c r="AS23" s="58">
        <f>AS13*Premissas!$B$24</f>
        <v/>
      </c>
      <c r="AT23" s="58">
        <f>AT13*Premissas!$B$24</f>
        <v/>
      </c>
      <c r="AU23" s="58">
        <f>AU13*Premissas!$B$24</f>
        <v/>
      </c>
      <c r="AV23" s="58">
        <f>AV13*Premissas!$B$24</f>
        <v/>
      </c>
      <c r="AW23" s="58">
        <f>AW13*Premissas!$B$24</f>
        <v/>
      </c>
      <c r="AX23" s="58">
        <f>AX13*Premissas!$B$24</f>
        <v/>
      </c>
      <c r="AY23" s="58">
        <f>AY13*Premissas!$B$24</f>
        <v/>
      </c>
      <c r="AZ23" s="58">
        <f>AZ13*Premissas!$B$24</f>
        <v/>
      </c>
      <c r="BA23" s="58">
        <f>BA13*Premissas!$B$24</f>
        <v/>
      </c>
      <c r="BB23" s="58">
        <f>BB13*Premissas!$B$24</f>
        <v/>
      </c>
      <c r="BC23" s="58">
        <f>BC13*Premissas!$B$24</f>
        <v/>
      </c>
      <c r="BD23" s="58">
        <f>BD13*Premissas!$B$24</f>
        <v/>
      </c>
      <c r="BE23" s="58">
        <f>BE13*Premissas!$B$24</f>
        <v/>
      </c>
      <c r="BF23" s="58">
        <f>BF13*Premissas!$B$24</f>
        <v/>
      </c>
      <c r="BG23" s="58">
        <f>BG13*Premissas!$B$24</f>
        <v/>
      </c>
      <c r="BH23" s="58">
        <f>BH13*Premissas!$B$24</f>
        <v/>
      </c>
      <c r="BI23" s="58">
        <f>BI13*Premissas!$B$24</f>
        <v/>
      </c>
      <c r="BJ23" s="58">
        <f>BJ13*Premissas!$B$24</f>
        <v/>
      </c>
      <c r="BK23" s="58">
        <f>BK13*Premissas!$B$24</f>
        <v/>
      </c>
    </row>
    <row r="24" ht="15" customHeight="1" s="35">
      <c r="A24" s="47" t="inlineStr">
        <is>
          <t>RECEITA TOTAL (R$)</t>
        </is>
      </c>
      <c r="B24" s="53" t="inlineStr">
        <is>
          <t>R$</t>
        </is>
      </c>
      <c r="C24" s="59" t="n">
        <v>0</v>
      </c>
      <c r="D24" s="59">
        <f>D17+D18+D21+D22+D23</f>
        <v/>
      </c>
      <c r="E24" s="59">
        <f>E17+E18+E21+E22+E23</f>
        <v/>
      </c>
      <c r="F24" s="59">
        <f>F17+F18+F21+F22+F23</f>
        <v/>
      </c>
      <c r="G24" s="59">
        <f>G17+G18+G21+G22+G23</f>
        <v/>
      </c>
      <c r="H24" s="59">
        <f>H17+H18+H21+H22+H23</f>
        <v/>
      </c>
      <c r="I24" s="59">
        <f>I17+I18+I21+I22+I23</f>
        <v/>
      </c>
      <c r="J24" s="59">
        <f>J17+J18+J21+J22+J23</f>
        <v/>
      </c>
      <c r="K24" s="59">
        <f>K17+K18+K21+K22+K23</f>
        <v/>
      </c>
      <c r="L24" s="59">
        <f>L17+L18+L21+L22+L23</f>
        <v/>
      </c>
      <c r="M24" s="59">
        <f>M17+M18+M21+M22+M23</f>
        <v/>
      </c>
      <c r="N24" s="59">
        <f>N17+N18+N21+N22+N23</f>
        <v/>
      </c>
      <c r="O24" s="59">
        <f>O17+O18+O21+O22+O23</f>
        <v/>
      </c>
      <c r="P24" s="59">
        <f>P17+P18+P21+P22+P23</f>
        <v/>
      </c>
      <c r="Q24" s="59">
        <f>Q17+Q18+Q21+Q22+Q23</f>
        <v/>
      </c>
      <c r="R24" s="59">
        <f>R17+R18+R21+R22+R23</f>
        <v/>
      </c>
      <c r="S24" s="59">
        <f>S17+S18+S21+S22+S23</f>
        <v/>
      </c>
      <c r="T24" s="59">
        <f>T17+T18+T21+T22+T23</f>
        <v/>
      </c>
      <c r="U24" s="59">
        <f>U17+U18+U21+U22+U23</f>
        <v/>
      </c>
      <c r="V24" s="59">
        <f>V17+V18+V21+V22+V23</f>
        <v/>
      </c>
      <c r="W24" s="59">
        <f>W17+W18+W21+W22+W23</f>
        <v/>
      </c>
      <c r="X24" s="59">
        <f>X17+X18+X21+X22+X23</f>
        <v/>
      </c>
      <c r="Y24" s="59">
        <f>Y17+Y18+Y21+Y22+Y23</f>
        <v/>
      </c>
      <c r="Z24" s="59">
        <f>Z17+Z18+Z21+Z22+Z23</f>
        <v/>
      </c>
      <c r="AA24" s="59">
        <f>AA17+AA18+AA21+AA22+AA23</f>
        <v/>
      </c>
      <c r="AB24" s="59">
        <f>AB17+AB18+AB21+AB22+AB23</f>
        <v/>
      </c>
      <c r="AC24" s="59">
        <f>AC17+AC18+AC21+AC22+AC23</f>
        <v/>
      </c>
      <c r="AD24" s="59">
        <f>AD17+AD18+AD21+AD22+AD23</f>
        <v/>
      </c>
      <c r="AE24" s="59">
        <f>AE17+AE18+AE21+AE22+AE23</f>
        <v/>
      </c>
      <c r="AF24" s="59">
        <f>AF17+AF18+AF21+AF22+AF23</f>
        <v/>
      </c>
      <c r="AG24" s="59">
        <f>AG17+AG18+AG21+AG22+AG23</f>
        <v/>
      </c>
      <c r="AH24" s="59">
        <f>AH17+AH18+AH21+AH22+AH23</f>
        <v/>
      </c>
      <c r="AI24" s="59">
        <f>AI17+AI18+AI21+AI22+AI23</f>
        <v/>
      </c>
      <c r="AJ24" s="59">
        <f>AJ17+AJ18+AJ21+AJ22+AJ23</f>
        <v/>
      </c>
      <c r="AK24" s="59">
        <f>AK17+AK18+AK21+AK22+AK23</f>
        <v/>
      </c>
      <c r="AL24" s="59">
        <f>AL17+AL18+AL21+AL22+AL23</f>
        <v/>
      </c>
      <c r="AM24" s="59">
        <f>AM17+AM18+AM21+AM22+AM23</f>
        <v/>
      </c>
      <c r="AN24" s="59">
        <f>AN17+AN18+AN21+AN22+AN23</f>
        <v/>
      </c>
      <c r="AO24" s="59">
        <f>AO17+AO18+AO21+AO22+AO23</f>
        <v/>
      </c>
      <c r="AP24" s="59">
        <f>AP17+AP18+AP21+AP22+AP23</f>
        <v/>
      </c>
      <c r="AQ24" s="59">
        <f>AQ17+AQ18+AQ21+AQ22+AQ23</f>
        <v/>
      </c>
      <c r="AR24" s="59">
        <f>AR17+AR18+AR21+AR22+AR23</f>
        <v/>
      </c>
      <c r="AS24" s="59">
        <f>AS17+AS18+AS21+AS22+AS23</f>
        <v/>
      </c>
      <c r="AT24" s="59">
        <f>AT17+AT18+AT21+AT22+AT23</f>
        <v/>
      </c>
      <c r="AU24" s="59">
        <f>AU17+AU18+AU21+AU22+AU23</f>
        <v/>
      </c>
      <c r="AV24" s="59">
        <f>AV17+AV18+AV21+AV22+AV23</f>
        <v/>
      </c>
      <c r="AW24" s="59">
        <f>AW17+AW18+AW21+AW22+AW23</f>
        <v/>
      </c>
      <c r="AX24" s="59">
        <f>AX17+AX18+AX21+AX22+AX23</f>
        <v/>
      </c>
      <c r="AY24" s="59">
        <f>AY17+AY18+AY21+AY22+AY23</f>
        <v/>
      </c>
      <c r="AZ24" s="59">
        <f>AZ17+AZ18+AZ21+AZ22+AZ23</f>
        <v/>
      </c>
      <c r="BA24" s="59">
        <f>BA17+BA18+BA21+BA22+BA23</f>
        <v/>
      </c>
      <c r="BB24" s="59">
        <f>BB17+BB18+BB21+BB22+BB23</f>
        <v/>
      </c>
      <c r="BC24" s="59">
        <f>BC17+BC18+BC21+BC22+BC23</f>
        <v/>
      </c>
      <c r="BD24" s="59">
        <f>BD17+BD18+BD21+BD22+BD23</f>
        <v/>
      </c>
      <c r="BE24" s="59">
        <f>BE17+BE18+BE21+BE22+BE23</f>
        <v/>
      </c>
      <c r="BF24" s="59">
        <f>BF17+BF18+BF21+BF22+BF23</f>
        <v/>
      </c>
      <c r="BG24" s="59">
        <f>BG17+BG18+BG21+BG22+BG23</f>
        <v/>
      </c>
      <c r="BH24" s="59">
        <f>BH17+BH18+BH21+BH22+BH23</f>
        <v/>
      </c>
      <c r="BI24" s="59">
        <f>BI17+BI18+BI21+BI22+BI23</f>
        <v/>
      </c>
      <c r="BJ24" s="59">
        <f>BJ17+BJ18+BJ21+BJ22+BJ23</f>
        <v/>
      </c>
      <c r="BK24" s="59">
        <f>BK17+BK18+BK21+BK22+BK23</f>
        <v/>
      </c>
    </row>
    <row r="26" ht="15" customHeight="1" s="35">
      <c r="A26" s="46" t="inlineStr">
        <is>
          <t>── CUSTOS ──</t>
        </is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42" t="n"/>
      <c r="AV26" s="42" t="n"/>
      <c r="AW26" s="42" t="n"/>
      <c r="AX26" s="42" t="n"/>
      <c r="AY26" s="42" t="n"/>
      <c r="AZ26" s="42" t="n"/>
      <c r="BA26" s="42" t="n"/>
      <c r="BB26" s="42" t="n"/>
      <c r="BC26" s="42" t="n"/>
      <c r="BD26" s="42" t="n"/>
      <c r="BE26" s="42" t="n"/>
      <c r="BF26" s="42" t="n"/>
      <c r="BG26" s="42" t="n"/>
      <c r="BH26" s="42" t="n"/>
      <c r="BI26" s="42" t="n"/>
      <c r="BJ26" s="42" t="n"/>
      <c r="BK26" s="42" t="n"/>
    </row>
    <row r="27" ht="15" customHeight="1" s="35">
      <c r="A27" s="43" t="inlineStr">
        <is>
          <t>Custo de infraestrutura variável (R$)</t>
        </is>
      </c>
      <c r="B27" s="53" t="inlineStr">
        <is>
          <t>R$</t>
        </is>
      </c>
      <c r="C27" s="58" t="n">
        <v>0</v>
      </c>
      <c r="D27" s="58">
        <f>CEILING(D15/Premissas!$B$36,1)*Premissas!$B$35</f>
        <v/>
      </c>
      <c r="E27" s="58">
        <f>CEILING(E15/Premissas!$B$36,1)*Premissas!$B$35</f>
        <v/>
      </c>
      <c r="F27" s="58">
        <f>CEILING(F15/Premissas!$B$36,1)*Premissas!$B$35</f>
        <v/>
      </c>
      <c r="G27" s="58">
        <f>CEILING(G15/Premissas!$B$36,1)*Premissas!$B$35</f>
        <v/>
      </c>
      <c r="H27" s="58">
        <f>CEILING(H15/Premissas!$B$36,1)*Premissas!$B$35</f>
        <v/>
      </c>
      <c r="I27" s="58">
        <f>CEILING(I15/Premissas!$B$36,1)*Premissas!$B$35</f>
        <v/>
      </c>
      <c r="J27" s="58">
        <f>CEILING(J15/Premissas!$B$36,1)*Premissas!$B$35</f>
        <v/>
      </c>
      <c r="K27" s="58">
        <f>CEILING(K15/Premissas!$B$36,1)*Premissas!$B$35</f>
        <v/>
      </c>
      <c r="L27" s="58">
        <f>CEILING(L15/Premissas!$B$36,1)*Premissas!$B$35</f>
        <v/>
      </c>
      <c r="M27" s="58">
        <f>CEILING(M15/Premissas!$B$36,1)*Premissas!$B$35</f>
        <v/>
      </c>
      <c r="N27" s="58">
        <f>CEILING(N15/Premissas!$B$36,1)*Premissas!$B$35</f>
        <v/>
      </c>
      <c r="O27" s="58">
        <f>CEILING(O15/Premissas!$B$36,1)*Premissas!$B$35</f>
        <v/>
      </c>
      <c r="P27" s="58">
        <f>CEILING(P15/Premissas!$B$36,1)*Premissas!$B$35</f>
        <v/>
      </c>
      <c r="Q27" s="58">
        <f>CEILING(Q15/Premissas!$B$36,1)*Premissas!$B$35</f>
        <v/>
      </c>
      <c r="R27" s="58">
        <f>CEILING(R15/Premissas!$B$36,1)*Premissas!$B$35</f>
        <v/>
      </c>
      <c r="S27" s="58">
        <f>CEILING(S15/Premissas!$B$36,1)*Premissas!$B$35</f>
        <v/>
      </c>
      <c r="T27" s="58">
        <f>CEILING(T15/Premissas!$B$36,1)*Premissas!$B$35</f>
        <v/>
      </c>
      <c r="U27" s="58">
        <f>CEILING(U15/Premissas!$B$36,1)*Premissas!$B$35</f>
        <v/>
      </c>
      <c r="V27" s="58">
        <f>CEILING(V15/Premissas!$B$36,1)*Premissas!$B$35</f>
        <v/>
      </c>
      <c r="W27" s="58">
        <f>CEILING(W15/Premissas!$B$36,1)*Premissas!$B$35</f>
        <v/>
      </c>
      <c r="X27" s="58">
        <f>CEILING(X15/Premissas!$B$36,1)*Premissas!$B$35</f>
        <v/>
      </c>
      <c r="Y27" s="58">
        <f>CEILING(Y15/Premissas!$B$36,1)*Premissas!$B$35</f>
        <v/>
      </c>
      <c r="Z27" s="58">
        <f>CEILING(Z15/Premissas!$B$36,1)*Premissas!$B$35</f>
        <v/>
      </c>
      <c r="AA27" s="58">
        <f>CEILING(AA15/Premissas!$B$36,1)*Premissas!$B$35</f>
        <v/>
      </c>
      <c r="AB27" s="58">
        <f>CEILING(AB15/Premissas!$B$36,1)*Premissas!$B$35</f>
        <v/>
      </c>
      <c r="AC27" s="58">
        <f>CEILING(AC15/Premissas!$B$36,1)*Premissas!$B$35</f>
        <v/>
      </c>
      <c r="AD27" s="58">
        <f>CEILING(AD15/Premissas!$B$36,1)*Premissas!$B$35</f>
        <v/>
      </c>
      <c r="AE27" s="58">
        <f>CEILING(AE15/Premissas!$B$36,1)*Premissas!$B$35</f>
        <v/>
      </c>
      <c r="AF27" s="58">
        <f>CEILING(AF15/Premissas!$B$36,1)*Premissas!$B$35</f>
        <v/>
      </c>
      <c r="AG27" s="58">
        <f>CEILING(AG15/Premissas!$B$36,1)*Premissas!$B$35</f>
        <v/>
      </c>
      <c r="AH27" s="58">
        <f>CEILING(AH15/Premissas!$B$36,1)*Premissas!$B$35</f>
        <v/>
      </c>
      <c r="AI27" s="58">
        <f>CEILING(AI15/Premissas!$B$36,1)*Premissas!$B$35</f>
        <v/>
      </c>
      <c r="AJ27" s="58">
        <f>CEILING(AJ15/Premissas!$B$36,1)*Premissas!$B$35</f>
        <v/>
      </c>
      <c r="AK27" s="58">
        <f>CEILING(AK15/Premissas!$B$36,1)*Premissas!$B$35</f>
        <v/>
      </c>
      <c r="AL27" s="58">
        <f>CEILING(AL15/Premissas!$B$36,1)*Premissas!$B$35</f>
        <v/>
      </c>
      <c r="AM27" s="58">
        <f>CEILING(AM15/Premissas!$B$36,1)*Premissas!$B$35</f>
        <v/>
      </c>
      <c r="AN27" s="58">
        <f>CEILING(AN15/Premissas!$B$36,1)*Premissas!$B$35</f>
        <v/>
      </c>
      <c r="AO27" s="58">
        <f>CEILING(AO15/Premissas!$B$36,1)*Premissas!$B$35</f>
        <v/>
      </c>
      <c r="AP27" s="58">
        <f>CEILING(AP15/Premissas!$B$36,1)*Premissas!$B$35</f>
        <v/>
      </c>
      <c r="AQ27" s="58">
        <f>CEILING(AQ15/Premissas!$B$36,1)*Premissas!$B$35</f>
        <v/>
      </c>
      <c r="AR27" s="58">
        <f>CEILING(AR15/Premissas!$B$36,1)*Premissas!$B$35</f>
        <v/>
      </c>
      <c r="AS27" s="58">
        <f>CEILING(AS15/Premissas!$B$36,1)*Premissas!$B$35</f>
        <v/>
      </c>
      <c r="AT27" s="58">
        <f>CEILING(AT15/Premissas!$B$36,1)*Premissas!$B$35</f>
        <v/>
      </c>
      <c r="AU27" s="58">
        <f>CEILING(AU15/Premissas!$B$36,1)*Premissas!$B$35</f>
        <v/>
      </c>
      <c r="AV27" s="58">
        <f>CEILING(AV15/Premissas!$B$36,1)*Premissas!$B$35</f>
        <v/>
      </c>
      <c r="AW27" s="58">
        <f>CEILING(AW15/Premissas!$B$36,1)*Premissas!$B$35</f>
        <v/>
      </c>
      <c r="AX27" s="58">
        <f>CEILING(AX15/Premissas!$B$36,1)*Premissas!$B$35</f>
        <v/>
      </c>
      <c r="AY27" s="58">
        <f>CEILING(AY15/Premissas!$B$36,1)*Premissas!$B$35</f>
        <v/>
      </c>
      <c r="AZ27" s="58">
        <f>CEILING(AZ15/Premissas!$B$36,1)*Premissas!$B$35</f>
        <v/>
      </c>
      <c r="BA27" s="58">
        <f>CEILING(BA15/Premissas!$B$36,1)*Premissas!$B$35</f>
        <v/>
      </c>
      <c r="BB27" s="58">
        <f>CEILING(BB15/Premissas!$B$36,1)*Premissas!$B$35</f>
        <v/>
      </c>
      <c r="BC27" s="58">
        <f>CEILING(BC15/Premissas!$B$36,1)*Premissas!$B$35</f>
        <v/>
      </c>
      <c r="BD27" s="58">
        <f>CEILING(BD15/Premissas!$B$36,1)*Premissas!$B$35</f>
        <v/>
      </c>
      <c r="BE27" s="58">
        <f>CEILING(BE15/Premissas!$B$36,1)*Premissas!$B$35</f>
        <v/>
      </c>
      <c r="BF27" s="58">
        <f>CEILING(BF15/Premissas!$B$36,1)*Premissas!$B$35</f>
        <v/>
      </c>
      <c r="BG27" s="58">
        <f>CEILING(BG15/Premissas!$B$36,1)*Premissas!$B$35</f>
        <v/>
      </c>
      <c r="BH27" s="58">
        <f>CEILING(BH15/Premissas!$B$36,1)*Premissas!$B$35</f>
        <v/>
      </c>
      <c r="BI27" s="58">
        <f>CEILING(BI15/Premissas!$B$36,1)*Premissas!$B$35</f>
        <v/>
      </c>
      <c r="BJ27" s="58">
        <f>CEILING(BJ15/Premissas!$B$36,1)*Premissas!$B$35</f>
        <v/>
      </c>
      <c r="BK27" s="58">
        <f>CEILING(BK15/Premissas!$B$36,1)*Premissas!$B$35</f>
        <v/>
      </c>
    </row>
    <row r="28" ht="15" customHeight="1" s="35">
      <c r="A28" s="43" t="inlineStr">
        <is>
          <t>Custo de equipe (R$)</t>
        </is>
      </c>
      <c r="B28" s="53" t="inlineStr">
        <is>
          <t>R$</t>
        </is>
      </c>
      <c r="C28" s="58" t="n">
        <v>0</v>
      </c>
      <c r="D28" s="58">
        <f>ROUNDUP(D13/Premissas!$B$29,0)*Premissas!$B$30</f>
        <v/>
      </c>
      <c r="E28" s="58">
        <f>ROUNDUP(E13/Premissas!$B$29,0)*Premissas!$B$30</f>
        <v/>
      </c>
      <c r="F28" s="58">
        <f>ROUNDUP(F13/Premissas!$B$29,0)*Premissas!$B$30</f>
        <v/>
      </c>
      <c r="G28" s="58">
        <f>ROUNDUP(G13/Premissas!$B$29,0)*Premissas!$B$30</f>
        <v/>
      </c>
      <c r="H28" s="58">
        <f>ROUNDUP(H13/Premissas!$B$29,0)*Premissas!$B$30</f>
        <v/>
      </c>
      <c r="I28" s="58">
        <f>ROUNDUP(I13/Premissas!$B$29,0)*Premissas!$B$30</f>
        <v/>
      </c>
      <c r="J28" s="58">
        <f>ROUNDUP(J13/Premissas!$B$29,0)*Premissas!$B$30</f>
        <v/>
      </c>
      <c r="K28" s="58">
        <f>ROUNDUP(K13/Premissas!$B$29,0)*Premissas!$B$30</f>
        <v/>
      </c>
      <c r="L28" s="58">
        <f>ROUNDUP(L13/Premissas!$B$29,0)*Premissas!$B$30</f>
        <v/>
      </c>
      <c r="M28" s="58">
        <f>ROUNDUP(M13/Premissas!$B$29,0)*Premissas!$B$30</f>
        <v/>
      </c>
      <c r="N28" s="58">
        <f>ROUNDUP(N13/Premissas!$B$29,0)*Premissas!$B$30</f>
        <v/>
      </c>
      <c r="O28" s="58">
        <f>ROUNDUP(O13/Premissas!$B$29,0)*Premissas!$B$30</f>
        <v/>
      </c>
      <c r="P28" s="58">
        <f>ROUNDUP(P13/Premissas!$B$29,0)*Premissas!$B$30</f>
        <v/>
      </c>
      <c r="Q28" s="58">
        <f>ROUNDUP(Q13/Premissas!$B$29,0)*Premissas!$B$30</f>
        <v/>
      </c>
      <c r="R28" s="58">
        <f>ROUNDUP(R13/Premissas!$B$29,0)*Premissas!$B$30</f>
        <v/>
      </c>
      <c r="S28" s="58">
        <f>ROUNDUP(S13/Premissas!$B$29,0)*Premissas!$B$30</f>
        <v/>
      </c>
      <c r="T28" s="58">
        <f>ROUNDUP(T13/Premissas!$B$29,0)*Premissas!$B$30</f>
        <v/>
      </c>
      <c r="U28" s="58">
        <f>ROUNDUP(U13/Premissas!$B$29,0)*Premissas!$B$30</f>
        <v/>
      </c>
      <c r="V28" s="58">
        <f>ROUNDUP(V13/Premissas!$B$29,0)*Premissas!$B$30</f>
        <v/>
      </c>
      <c r="W28" s="58">
        <f>ROUNDUP(W13/Premissas!$B$29,0)*Premissas!$B$30</f>
        <v/>
      </c>
      <c r="X28" s="58">
        <f>ROUNDUP(X13/Premissas!$B$29,0)*Premissas!$B$30</f>
        <v/>
      </c>
      <c r="Y28" s="58">
        <f>ROUNDUP(Y13/Premissas!$B$29,0)*Premissas!$B$30</f>
        <v/>
      </c>
      <c r="Z28" s="58">
        <f>ROUNDUP(Z13/Premissas!$B$29,0)*Premissas!$B$30</f>
        <v/>
      </c>
      <c r="AA28" s="58">
        <f>ROUNDUP(AA13/Premissas!$B$29,0)*Premissas!$B$30</f>
        <v/>
      </c>
      <c r="AB28" s="58">
        <f>ROUNDUP(AB13/Premissas!$B$29,0)*Premissas!$B$30</f>
        <v/>
      </c>
      <c r="AC28" s="58">
        <f>ROUNDUP(AC13/Premissas!$B$29,0)*Premissas!$B$30</f>
        <v/>
      </c>
      <c r="AD28" s="58">
        <f>ROUNDUP(AD13/Premissas!$B$29,0)*Premissas!$B$30</f>
        <v/>
      </c>
      <c r="AE28" s="58">
        <f>ROUNDUP(AE13/Premissas!$B$29,0)*Premissas!$B$30</f>
        <v/>
      </c>
      <c r="AF28" s="58">
        <f>ROUNDUP(AF13/Premissas!$B$29,0)*Premissas!$B$30</f>
        <v/>
      </c>
      <c r="AG28" s="58">
        <f>ROUNDUP(AG13/Premissas!$B$29,0)*Premissas!$B$30</f>
        <v/>
      </c>
      <c r="AH28" s="58">
        <f>ROUNDUP(AH13/Premissas!$B$29,0)*Premissas!$B$30</f>
        <v/>
      </c>
      <c r="AI28" s="58">
        <f>ROUNDUP(AI13/Premissas!$B$29,0)*Premissas!$B$30</f>
        <v/>
      </c>
      <c r="AJ28" s="58">
        <f>ROUNDUP(AJ13/Premissas!$B$29,0)*Premissas!$B$30</f>
        <v/>
      </c>
      <c r="AK28" s="58">
        <f>ROUNDUP(AK13/Premissas!$B$29,0)*Premissas!$B$30</f>
        <v/>
      </c>
      <c r="AL28" s="58">
        <f>ROUNDUP(AL13/Premissas!$B$29,0)*Premissas!$B$30</f>
        <v/>
      </c>
      <c r="AM28" s="58">
        <f>ROUNDUP(AM13/Premissas!$B$29,0)*Premissas!$B$30</f>
        <v/>
      </c>
      <c r="AN28" s="58">
        <f>ROUNDUP(AN13/Premissas!$B$29,0)*Premissas!$B$30</f>
        <v/>
      </c>
      <c r="AO28" s="58">
        <f>ROUNDUP(AO13/Premissas!$B$29,0)*Premissas!$B$30</f>
        <v/>
      </c>
      <c r="AP28" s="58">
        <f>ROUNDUP(AP13/Premissas!$B$29,0)*Premissas!$B$30</f>
        <v/>
      </c>
      <c r="AQ28" s="58">
        <f>ROUNDUP(AQ13/Premissas!$B$29,0)*Premissas!$B$30</f>
        <v/>
      </c>
      <c r="AR28" s="58">
        <f>ROUNDUP(AR13/Premissas!$B$29,0)*Premissas!$B$30</f>
        <v/>
      </c>
      <c r="AS28" s="58">
        <f>ROUNDUP(AS13/Premissas!$B$29,0)*Premissas!$B$30</f>
        <v/>
      </c>
      <c r="AT28" s="58">
        <f>ROUNDUP(AT13/Premissas!$B$29,0)*Premissas!$B$30</f>
        <v/>
      </c>
      <c r="AU28" s="58">
        <f>ROUNDUP(AU13/Premissas!$B$29,0)*Premissas!$B$30</f>
        <v/>
      </c>
      <c r="AV28" s="58">
        <f>ROUNDUP(AV13/Premissas!$B$29,0)*Premissas!$B$30</f>
        <v/>
      </c>
      <c r="AW28" s="58">
        <f>ROUNDUP(AW13/Premissas!$B$29,0)*Premissas!$B$30</f>
        <v/>
      </c>
      <c r="AX28" s="58">
        <f>ROUNDUP(AX13/Premissas!$B$29,0)*Premissas!$B$30</f>
        <v/>
      </c>
      <c r="AY28" s="58">
        <f>ROUNDUP(AY13/Premissas!$B$29,0)*Premissas!$B$30</f>
        <v/>
      </c>
      <c r="AZ28" s="58">
        <f>ROUNDUP(AZ13/Premissas!$B$29,0)*Premissas!$B$30</f>
        <v/>
      </c>
      <c r="BA28" s="58">
        <f>ROUNDUP(BA13/Premissas!$B$29,0)*Premissas!$B$30</f>
        <v/>
      </c>
      <c r="BB28" s="58">
        <f>ROUNDUP(BB13/Premissas!$B$29,0)*Premissas!$B$30</f>
        <v/>
      </c>
      <c r="BC28" s="58">
        <f>ROUNDUP(BC13/Premissas!$B$29,0)*Premissas!$B$30</f>
        <v/>
      </c>
      <c r="BD28" s="58">
        <f>ROUNDUP(BD13/Premissas!$B$29,0)*Premissas!$B$30</f>
        <v/>
      </c>
      <c r="BE28" s="58">
        <f>ROUNDUP(BE13/Premissas!$B$29,0)*Premissas!$B$30</f>
        <v/>
      </c>
      <c r="BF28" s="58">
        <f>ROUNDUP(BF13/Premissas!$B$29,0)*Premissas!$B$30</f>
        <v/>
      </c>
      <c r="BG28" s="58">
        <f>ROUNDUP(BG13/Premissas!$B$29,0)*Premissas!$B$30</f>
        <v/>
      </c>
      <c r="BH28" s="58">
        <f>ROUNDUP(BH13/Premissas!$B$29,0)*Premissas!$B$30</f>
        <v/>
      </c>
      <c r="BI28" s="58">
        <f>ROUNDUP(BI13/Premissas!$B$29,0)*Premissas!$B$30</f>
        <v/>
      </c>
      <c r="BJ28" s="58">
        <f>ROUNDUP(BJ13/Premissas!$B$29,0)*Premissas!$B$30</f>
        <v/>
      </c>
      <c r="BK28" s="58">
        <f>ROUNDUP(BK13/Premissas!$B$29,0)*Premissas!$B$30</f>
        <v/>
      </c>
    </row>
    <row r="29" ht="15" customHeight="1" s="35">
      <c r="A29" s="43" t="inlineStr">
        <is>
          <t>CAC do mês — aquisição de novos cadastros (R$)</t>
        </is>
      </c>
      <c r="B29" s="53" t="inlineStr">
        <is>
          <t>R$</t>
        </is>
      </c>
      <c r="C29" s="58" t="n">
        <v>0</v>
      </c>
      <c r="D29" s="58">
        <f>D6*Premissas!$B$27</f>
        <v/>
      </c>
      <c r="E29" s="58">
        <f>E6*Premissas!$B$27</f>
        <v/>
      </c>
      <c r="F29" s="58">
        <f>F6*Premissas!$B$27</f>
        <v/>
      </c>
      <c r="G29" s="58">
        <f>G6*Premissas!$B$27</f>
        <v/>
      </c>
      <c r="H29" s="58">
        <f>H6*Premissas!$B$27</f>
        <v/>
      </c>
      <c r="I29" s="58">
        <f>I6*Premissas!$B$27</f>
        <v/>
      </c>
      <c r="J29" s="58">
        <f>J6*Premissas!$B$27</f>
        <v/>
      </c>
      <c r="K29" s="58">
        <f>K6*Premissas!$B$27</f>
        <v/>
      </c>
      <c r="L29" s="58">
        <f>L6*Premissas!$B$27</f>
        <v/>
      </c>
      <c r="M29" s="58">
        <f>M6*Premissas!$B$27</f>
        <v/>
      </c>
      <c r="N29" s="58">
        <f>N6*Premissas!$B$27</f>
        <v/>
      </c>
      <c r="O29" s="58">
        <f>O6*Premissas!$B$27</f>
        <v/>
      </c>
      <c r="P29" s="58">
        <f>P6*Premissas!$B$27</f>
        <v/>
      </c>
      <c r="Q29" s="58">
        <f>Q6*Premissas!$B$27</f>
        <v/>
      </c>
      <c r="R29" s="58">
        <f>R6*Premissas!$B$27</f>
        <v/>
      </c>
      <c r="S29" s="58">
        <f>S6*Premissas!$B$27</f>
        <v/>
      </c>
      <c r="T29" s="58">
        <f>T6*Premissas!$B$27</f>
        <v/>
      </c>
      <c r="U29" s="58">
        <f>U6*Premissas!$B$27</f>
        <v/>
      </c>
      <c r="V29" s="58">
        <f>V6*Premissas!$B$27</f>
        <v/>
      </c>
      <c r="W29" s="58">
        <f>W6*Premissas!$B$27</f>
        <v/>
      </c>
      <c r="X29" s="58">
        <f>X6*Premissas!$B$27</f>
        <v/>
      </c>
      <c r="Y29" s="58">
        <f>Y6*Premissas!$B$27</f>
        <v/>
      </c>
      <c r="Z29" s="58">
        <f>Z6*Premissas!$B$27</f>
        <v/>
      </c>
      <c r="AA29" s="58">
        <f>AA6*Premissas!$B$27</f>
        <v/>
      </c>
      <c r="AB29" s="58">
        <f>AB6*Premissas!$B$27</f>
        <v/>
      </c>
      <c r="AC29" s="58">
        <f>AC6*Premissas!$B$27</f>
        <v/>
      </c>
      <c r="AD29" s="58">
        <f>AD6*Premissas!$B$27</f>
        <v/>
      </c>
      <c r="AE29" s="58">
        <f>AE6*Premissas!$B$27</f>
        <v/>
      </c>
      <c r="AF29" s="58">
        <f>AF6*Premissas!$B$27</f>
        <v/>
      </c>
      <c r="AG29" s="58">
        <f>AG6*Premissas!$B$27</f>
        <v/>
      </c>
      <c r="AH29" s="58">
        <f>AH6*Premissas!$B$27</f>
        <v/>
      </c>
      <c r="AI29" s="58">
        <f>AI6*Premissas!$B$27</f>
        <v/>
      </c>
      <c r="AJ29" s="58">
        <f>AJ6*Premissas!$B$27</f>
        <v/>
      </c>
      <c r="AK29" s="58">
        <f>AK6*Premissas!$B$27</f>
        <v/>
      </c>
      <c r="AL29" s="58">
        <f>AL6*Premissas!$B$27</f>
        <v/>
      </c>
      <c r="AM29" s="58">
        <f>AM6*Premissas!$B$27</f>
        <v/>
      </c>
      <c r="AN29" s="58">
        <f>AN6*Premissas!$B$27</f>
        <v/>
      </c>
      <c r="AO29" s="58">
        <f>AO6*Premissas!$B$27</f>
        <v/>
      </c>
      <c r="AP29" s="58">
        <f>AP6*Premissas!$B$27</f>
        <v/>
      </c>
      <c r="AQ29" s="58">
        <f>AQ6*Premissas!$B$27</f>
        <v/>
      </c>
      <c r="AR29" s="58">
        <f>AR6*Premissas!$B$27</f>
        <v/>
      </c>
      <c r="AS29" s="58">
        <f>AS6*Premissas!$B$27</f>
        <v/>
      </c>
      <c r="AT29" s="58">
        <f>AT6*Premissas!$B$27</f>
        <v/>
      </c>
      <c r="AU29" s="58">
        <f>AU6*Premissas!$B$27</f>
        <v/>
      </c>
      <c r="AV29" s="58">
        <f>AV6*Premissas!$B$27</f>
        <v/>
      </c>
      <c r="AW29" s="58">
        <f>AW6*Premissas!$B$27</f>
        <v/>
      </c>
      <c r="AX29" s="58">
        <f>AX6*Premissas!$B$27</f>
        <v/>
      </c>
      <c r="AY29" s="58">
        <f>AY6*Premissas!$B$27</f>
        <v/>
      </c>
      <c r="AZ29" s="58">
        <f>AZ6*Premissas!$B$27</f>
        <v/>
      </c>
      <c r="BA29" s="58">
        <f>BA6*Premissas!$B$27</f>
        <v/>
      </c>
      <c r="BB29" s="58">
        <f>BB6*Premissas!$B$27</f>
        <v/>
      </c>
      <c r="BC29" s="58">
        <f>BC6*Premissas!$B$27</f>
        <v/>
      </c>
      <c r="BD29" s="58">
        <f>BD6*Premissas!$B$27</f>
        <v/>
      </c>
      <c r="BE29" s="58">
        <f>BE6*Premissas!$B$27</f>
        <v/>
      </c>
      <c r="BF29" s="58">
        <f>BF6*Premissas!$B$27</f>
        <v/>
      </c>
      <c r="BG29" s="58">
        <f>BG6*Premissas!$B$27</f>
        <v/>
      </c>
      <c r="BH29" s="58">
        <f>BH6*Premissas!$B$27</f>
        <v/>
      </c>
      <c r="BI29" s="58">
        <f>BI6*Premissas!$B$27</f>
        <v/>
      </c>
      <c r="BJ29" s="58">
        <f>BJ6*Premissas!$B$27</f>
        <v/>
      </c>
      <c r="BK29" s="58">
        <f>BK6*Premissas!$B$27</f>
        <v/>
      </c>
    </row>
    <row r="30" ht="15" customHeight="1" s="35">
      <c r="A30" s="43" t="inlineStr">
        <is>
          <t>Custos fixos administrativos (R$)</t>
        </is>
      </c>
      <c r="B30" s="53" t="inlineStr">
        <is>
          <t>R$</t>
        </is>
      </c>
      <c r="C30" s="58" t="n">
        <v>0</v>
      </c>
      <c r="D30" s="58">
        <f>Premissas!$B$31</f>
        <v/>
      </c>
      <c r="E30" s="58">
        <f>Premissas!$B$31</f>
        <v/>
      </c>
      <c r="F30" s="58">
        <f>Premissas!$B$31</f>
        <v/>
      </c>
      <c r="G30" s="58">
        <f>Premissas!$B$31</f>
        <v/>
      </c>
      <c r="H30" s="58">
        <f>Premissas!$B$31</f>
        <v/>
      </c>
      <c r="I30" s="58">
        <f>Premissas!$B$31</f>
        <v/>
      </c>
      <c r="J30" s="58">
        <f>Premissas!$B$31</f>
        <v/>
      </c>
      <c r="K30" s="58">
        <f>Premissas!$B$31</f>
        <v/>
      </c>
      <c r="L30" s="58">
        <f>Premissas!$B$31</f>
        <v/>
      </c>
      <c r="M30" s="58">
        <f>Premissas!$B$31</f>
        <v/>
      </c>
      <c r="N30" s="58">
        <f>Premissas!$B$31</f>
        <v/>
      </c>
      <c r="O30" s="58">
        <f>Premissas!$B$31</f>
        <v/>
      </c>
      <c r="P30" s="58">
        <f>Premissas!$B$31</f>
        <v/>
      </c>
      <c r="Q30" s="58">
        <f>Premissas!$B$31</f>
        <v/>
      </c>
      <c r="R30" s="58">
        <f>Premissas!$B$31</f>
        <v/>
      </c>
      <c r="S30" s="58">
        <f>Premissas!$B$31</f>
        <v/>
      </c>
      <c r="T30" s="58">
        <f>Premissas!$B$31</f>
        <v/>
      </c>
      <c r="U30" s="58">
        <f>Premissas!$B$31</f>
        <v/>
      </c>
      <c r="V30" s="58">
        <f>Premissas!$B$31</f>
        <v/>
      </c>
      <c r="W30" s="58">
        <f>Premissas!$B$31</f>
        <v/>
      </c>
      <c r="X30" s="58">
        <f>Premissas!$B$31</f>
        <v/>
      </c>
      <c r="Y30" s="58">
        <f>Premissas!$B$31</f>
        <v/>
      </c>
      <c r="Z30" s="58">
        <f>Premissas!$B$31</f>
        <v/>
      </c>
      <c r="AA30" s="58">
        <f>Premissas!$B$31</f>
        <v/>
      </c>
      <c r="AB30" s="58">
        <f>Premissas!$B$31</f>
        <v/>
      </c>
      <c r="AC30" s="58">
        <f>Premissas!$B$31</f>
        <v/>
      </c>
      <c r="AD30" s="58">
        <f>Premissas!$B$31</f>
        <v/>
      </c>
      <c r="AE30" s="58">
        <f>Premissas!$B$31</f>
        <v/>
      </c>
      <c r="AF30" s="58">
        <f>Premissas!$B$31</f>
        <v/>
      </c>
      <c r="AG30" s="58">
        <f>Premissas!$B$31</f>
        <v/>
      </c>
      <c r="AH30" s="58">
        <f>Premissas!$B$31</f>
        <v/>
      </c>
      <c r="AI30" s="58">
        <f>Premissas!$B$31</f>
        <v/>
      </c>
      <c r="AJ30" s="58">
        <f>Premissas!$B$31</f>
        <v/>
      </c>
      <c r="AK30" s="58">
        <f>Premissas!$B$31</f>
        <v/>
      </c>
      <c r="AL30" s="58">
        <f>Premissas!$B$31</f>
        <v/>
      </c>
      <c r="AM30" s="58">
        <f>Premissas!$B$31</f>
        <v/>
      </c>
      <c r="AN30" s="58">
        <f>Premissas!$B$31</f>
        <v/>
      </c>
      <c r="AO30" s="58">
        <f>Premissas!$B$31</f>
        <v/>
      </c>
      <c r="AP30" s="58">
        <f>Premissas!$B$31</f>
        <v/>
      </c>
      <c r="AQ30" s="58">
        <f>Premissas!$B$31</f>
        <v/>
      </c>
      <c r="AR30" s="58">
        <f>Premissas!$B$31</f>
        <v/>
      </c>
      <c r="AS30" s="58">
        <f>Premissas!$B$31</f>
        <v/>
      </c>
      <c r="AT30" s="58">
        <f>Premissas!$B$31</f>
        <v/>
      </c>
      <c r="AU30" s="58">
        <f>Premissas!$B$31</f>
        <v/>
      </c>
      <c r="AV30" s="58">
        <f>Premissas!$B$31</f>
        <v/>
      </c>
      <c r="AW30" s="58">
        <f>Premissas!$B$31</f>
        <v/>
      </c>
      <c r="AX30" s="58">
        <f>Premissas!$B$31</f>
        <v/>
      </c>
      <c r="AY30" s="58">
        <f>Premissas!$B$31</f>
        <v/>
      </c>
      <c r="AZ30" s="58">
        <f>Premissas!$B$31</f>
        <v/>
      </c>
      <c r="BA30" s="58">
        <f>Premissas!$B$31</f>
        <v/>
      </c>
      <c r="BB30" s="58">
        <f>Premissas!$B$31</f>
        <v/>
      </c>
      <c r="BC30" s="58">
        <f>Premissas!$B$31</f>
        <v/>
      </c>
      <c r="BD30" s="58">
        <f>Premissas!$B$31</f>
        <v/>
      </c>
      <c r="BE30" s="58">
        <f>Premissas!$B$31</f>
        <v/>
      </c>
      <c r="BF30" s="58">
        <f>Premissas!$B$31</f>
        <v/>
      </c>
      <c r="BG30" s="58">
        <f>Premissas!$B$31</f>
        <v/>
      </c>
      <c r="BH30" s="58">
        <f>Premissas!$B$31</f>
        <v/>
      </c>
      <c r="BI30" s="58">
        <f>Premissas!$B$31</f>
        <v/>
      </c>
      <c r="BJ30" s="58">
        <f>Premissas!$B$31</f>
        <v/>
      </c>
      <c r="BK30" s="58">
        <f>Premissas!$B$31</f>
        <v/>
      </c>
    </row>
    <row r="31" ht="15" customHeight="1" s="35">
      <c r="A31" s="43" t="inlineStr">
        <is>
          <t>Impostos — Simples Nacional (R$)</t>
        </is>
      </c>
      <c r="B31" s="53" t="inlineStr">
        <is>
          <t>R$</t>
        </is>
      </c>
      <c r="C31" s="58" t="n">
        <v>0</v>
      </c>
      <c r="D31" s="58">
        <f>D24*Premissas!$B$32</f>
        <v/>
      </c>
      <c r="E31" s="58">
        <f>E24*Premissas!$B$32</f>
        <v/>
      </c>
      <c r="F31" s="58">
        <f>F24*Premissas!$B$32</f>
        <v/>
      </c>
      <c r="G31" s="58">
        <f>G24*Premissas!$B$32</f>
        <v/>
      </c>
      <c r="H31" s="58">
        <f>H24*Premissas!$B$32</f>
        <v/>
      </c>
      <c r="I31" s="58">
        <f>I24*Premissas!$B$32</f>
        <v/>
      </c>
      <c r="J31" s="58">
        <f>J24*Premissas!$B$32</f>
        <v/>
      </c>
      <c r="K31" s="58">
        <f>K24*Premissas!$B$32</f>
        <v/>
      </c>
      <c r="L31" s="58">
        <f>L24*Premissas!$B$32</f>
        <v/>
      </c>
      <c r="M31" s="58">
        <f>M24*Premissas!$B$32</f>
        <v/>
      </c>
      <c r="N31" s="58">
        <f>N24*Premissas!$B$32</f>
        <v/>
      </c>
      <c r="O31" s="58">
        <f>O24*Premissas!$B$32</f>
        <v/>
      </c>
      <c r="P31" s="58">
        <f>P24*Premissas!$B$32</f>
        <v/>
      </c>
      <c r="Q31" s="58">
        <f>Q24*Premissas!$B$32</f>
        <v/>
      </c>
      <c r="R31" s="58">
        <f>R24*Premissas!$B$32</f>
        <v/>
      </c>
      <c r="S31" s="58">
        <f>S24*Premissas!$B$32</f>
        <v/>
      </c>
      <c r="T31" s="58">
        <f>T24*Premissas!$B$32</f>
        <v/>
      </c>
      <c r="U31" s="58">
        <f>U24*Premissas!$B$32</f>
        <v/>
      </c>
      <c r="V31" s="58">
        <f>V24*Premissas!$B$32</f>
        <v/>
      </c>
      <c r="W31" s="58">
        <f>W24*Premissas!$B$32</f>
        <v/>
      </c>
      <c r="X31" s="58">
        <f>X24*Premissas!$B$32</f>
        <v/>
      </c>
      <c r="Y31" s="58">
        <f>Y24*Premissas!$B$32</f>
        <v/>
      </c>
      <c r="Z31" s="58">
        <f>Z24*Premissas!$B$32</f>
        <v/>
      </c>
      <c r="AA31" s="58">
        <f>AA24*Premissas!$B$32</f>
        <v/>
      </c>
      <c r="AB31" s="58">
        <f>AB24*Premissas!$B$32</f>
        <v/>
      </c>
      <c r="AC31" s="58">
        <f>AC24*Premissas!$B$32</f>
        <v/>
      </c>
      <c r="AD31" s="58">
        <f>AD24*Premissas!$B$32</f>
        <v/>
      </c>
      <c r="AE31" s="58">
        <f>AE24*Premissas!$B$32</f>
        <v/>
      </c>
      <c r="AF31" s="58">
        <f>AF24*Premissas!$B$32</f>
        <v/>
      </c>
      <c r="AG31" s="58">
        <f>AG24*Premissas!$B$32</f>
        <v/>
      </c>
      <c r="AH31" s="58">
        <f>AH24*Premissas!$B$32</f>
        <v/>
      </c>
      <c r="AI31" s="58">
        <f>AI24*Premissas!$B$32</f>
        <v/>
      </c>
      <c r="AJ31" s="58">
        <f>AJ24*Premissas!$B$32</f>
        <v/>
      </c>
      <c r="AK31" s="58">
        <f>AK24*Premissas!$B$32</f>
        <v/>
      </c>
      <c r="AL31" s="58">
        <f>AL24*Premissas!$B$32</f>
        <v/>
      </c>
      <c r="AM31" s="58">
        <f>AM24*Premissas!$B$32</f>
        <v/>
      </c>
      <c r="AN31" s="58">
        <f>AN24*Premissas!$B$32</f>
        <v/>
      </c>
      <c r="AO31" s="58">
        <f>AO24*Premissas!$B$32</f>
        <v/>
      </c>
      <c r="AP31" s="58">
        <f>AP24*Premissas!$B$32</f>
        <v/>
      </c>
      <c r="AQ31" s="58">
        <f>AQ24*Premissas!$B$32</f>
        <v/>
      </c>
      <c r="AR31" s="58">
        <f>AR24*Premissas!$B$32</f>
        <v/>
      </c>
      <c r="AS31" s="58">
        <f>AS24*Premissas!$B$32</f>
        <v/>
      </c>
      <c r="AT31" s="58">
        <f>AT24*Premissas!$B$32</f>
        <v/>
      </c>
      <c r="AU31" s="58">
        <f>AU24*Premissas!$B$32</f>
        <v/>
      </c>
      <c r="AV31" s="58">
        <f>AV24*Premissas!$B$32</f>
        <v/>
      </c>
      <c r="AW31" s="58">
        <f>AW24*Premissas!$B$32</f>
        <v/>
      </c>
      <c r="AX31" s="58">
        <f>AX24*Premissas!$B$32</f>
        <v/>
      </c>
      <c r="AY31" s="58">
        <f>AY24*Premissas!$B$32</f>
        <v/>
      </c>
      <c r="AZ31" s="58">
        <f>AZ24*Premissas!$B$32</f>
        <v/>
      </c>
      <c r="BA31" s="58">
        <f>BA24*Premissas!$B$32</f>
        <v/>
      </c>
      <c r="BB31" s="58">
        <f>BB24*Premissas!$B$32</f>
        <v/>
      </c>
      <c r="BC31" s="58">
        <f>BC24*Premissas!$B$32</f>
        <v/>
      </c>
      <c r="BD31" s="58">
        <f>BD24*Premissas!$B$32</f>
        <v/>
      </c>
      <c r="BE31" s="58">
        <f>BE24*Premissas!$B$32</f>
        <v/>
      </c>
      <c r="BF31" s="58">
        <f>BF24*Premissas!$B$32</f>
        <v/>
      </c>
      <c r="BG31" s="58">
        <f>BG24*Premissas!$B$32</f>
        <v/>
      </c>
      <c r="BH31" s="58">
        <f>BH24*Premissas!$B$32</f>
        <v/>
      </c>
      <c r="BI31" s="58">
        <f>BI24*Premissas!$B$32</f>
        <v/>
      </c>
      <c r="BJ31" s="58">
        <f>BJ24*Premissas!$B$32</f>
        <v/>
      </c>
      <c r="BK31" s="58">
        <f>BK24*Premissas!$B$32</f>
        <v/>
      </c>
    </row>
    <row r="32" ht="15" customHeight="1" s="35">
      <c r="A32" s="47" t="inlineStr">
        <is>
          <t>DESPESAS TOTAIS (R$)</t>
        </is>
      </c>
      <c r="B32" s="53" t="inlineStr">
        <is>
          <t>R$</t>
        </is>
      </c>
      <c r="C32" s="59" t="n">
        <v>0</v>
      </c>
      <c r="D32" s="59">
        <f>D27+D28+D29+D30+D31</f>
        <v/>
      </c>
      <c r="E32" s="59">
        <f>E27+E28+E29+E30+E31</f>
        <v/>
      </c>
      <c r="F32" s="59">
        <f>F27+F28+F29+F30+F31</f>
        <v/>
      </c>
      <c r="G32" s="59">
        <f>G27+G28+G29+G30+G31</f>
        <v/>
      </c>
      <c r="H32" s="59">
        <f>H27+H28+H29+H30+H31</f>
        <v/>
      </c>
      <c r="I32" s="59">
        <f>I27+I28+I29+I30+I31</f>
        <v/>
      </c>
      <c r="J32" s="59">
        <f>J27+J28+J29+J30+J31</f>
        <v/>
      </c>
      <c r="K32" s="59">
        <f>K27+K28+K29+K30+K31</f>
        <v/>
      </c>
      <c r="L32" s="59">
        <f>L27+L28+L29+L30+L31</f>
        <v/>
      </c>
      <c r="M32" s="59">
        <f>M27+M28+M29+M30+M31</f>
        <v/>
      </c>
      <c r="N32" s="59">
        <f>N27+N28+N29+N30+N31</f>
        <v/>
      </c>
      <c r="O32" s="59">
        <f>O27+O28+O29+O30+O31</f>
        <v/>
      </c>
      <c r="P32" s="59">
        <f>P27+P28+P29+P30+P31</f>
        <v/>
      </c>
      <c r="Q32" s="59">
        <f>Q27+Q28+Q29+Q30+Q31</f>
        <v/>
      </c>
      <c r="R32" s="59">
        <f>R27+R28+R29+R30+R31</f>
        <v/>
      </c>
      <c r="S32" s="59">
        <f>S27+S28+S29+S30+S31</f>
        <v/>
      </c>
      <c r="T32" s="59">
        <f>T27+T28+T29+T30+T31</f>
        <v/>
      </c>
      <c r="U32" s="59">
        <f>U27+U28+U29+U30+U31</f>
        <v/>
      </c>
      <c r="V32" s="59">
        <f>V27+V28+V29+V30+V31</f>
        <v/>
      </c>
      <c r="W32" s="59">
        <f>W27+W28+W29+W30+W31</f>
        <v/>
      </c>
      <c r="X32" s="59">
        <f>X27+X28+X29+X30+X31</f>
        <v/>
      </c>
      <c r="Y32" s="59">
        <f>Y27+Y28+Y29+Y30+Y31</f>
        <v/>
      </c>
      <c r="Z32" s="59">
        <f>Z27+Z28+Z29+Z30+Z31</f>
        <v/>
      </c>
      <c r="AA32" s="59">
        <f>AA27+AA28+AA29+AA30+AA31</f>
        <v/>
      </c>
      <c r="AB32" s="59">
        <f>AB27+AB28+AB29+AB30+AB31</f>
        <v/>
      </c>
      <c r="AC32" s="59">
        <f>AC27+AC28+AC29+AC30+AC31</f>
        <v/>
      </c>
      <c r="AD32" s="59">
        <f>AD27+AD28+AD29+AD30+AD31</f>
        <v/>
      </c>
      <c r="AE32" s="59">
        <f>AE27+AE28+AE29+AE30+AE31</f>
        <v/>
      </c>
      <c r="AF32" s="59">
        <f>AF27+AF28+AF29+AF30+AF31</f>
        <v/>
      </c>
      <c r="AG32" s="59">
        <f>AG27+AG28+AG29+AG30+AG31</f>
        <v/>
      </c>
      <c r="AH32" s="59">
        <f>AH27+AH28+AH29+AH30+AH31</f>
        <v/>
      </c>
      <c r="AI32" s="59">
        <f>AI27+AI28+AI29+AI30+AI31</f>
        <v/>
      </c>
      <c r="AJ32" s="59">
        <f>AJ27+AJ28+AJ29+AJ30+AJ31</f>
        <v/>
      </c>
      <c r="AK32" s="59">
        <f>AK27+AK28+AK29+AK30+AK31</f>
        <v/>
      </c>
      <c r="AL32" s="59">
        <f>AL27+AL28+AL29+AL30+AL31</f>
        <v/>
      </c>
      <c r="AM32" s="59">
        <f>AM27+AM28+AM29+AM30+AM31</f>
        <v/>
      </c>
      <c r="AN32" s="59">
        <f>AN27+AN28+AN29+AN30+AN31</f>
        <v/>
      </c>
      <c r="AO32" s="59">
        <f>AO27+AO28+AO29+AO30+AO31</f>
        <v/>
      </c>
      <c r="AP32" s="59">
        <f>AP27+AP28+AP29+AP30+AP31</f>
        <v/>
      </c>
      <c r="AQ32" s="59">
        <f>AQ27+AQ28+AQ29+AQ30+AQ31</f>
        <v/>
      </c>
      <c r="AR32" s="59">
        <f>AR27+AR28+AR29+AR30+AR31</f>
        <v/>
      </c>
      <c r="AS32" s="59">
        <f>AS27+AS28+AS29+AS30+AS31</f>
        <v/>
      </c>
      <c r="AT32" s="59">
        <f>AT27+AT28+AT29+AT30+AT31</f>
        <v/>
      </c>
      <c r="AU32" s="59">
        <f>AU27+AU28+AU29+AU30+AU31</f>
        <v/>
      </c>
      <c r="AV32" s="59">
        <f>AV27+AV28+AV29+AV30+AV31</f>
        <v/>
      </c>
      <c r="AW32" s="59">
        <f>AW27+AW28+AW29+AW30+AW31</f>
        <v/>
      </c>
      <c r="AX32" s="59">
        <f>AX27+AX28+AX29+AX30+AX31</f>
        <v/>
      </c>
      <c r="AY32" s="59">
        <f>AY27+AY28+AY29+AY30+AY31</f>
        <v/>
      </c>
      <c r="AZ32" s="59">
        <f>AZ27+AZ28+AZ29+AZ30+AZ31</f>
        <v/>
      </c>
      <c r="BA32" s="59">
        <f>BA27+BA28+BA29+BA30+BA31</f>
        <v/>
      </c>
      <c r="BB32" s="59">
        <f>BB27+BB28+BB29+BB30+BB31</f>
        <v/>
      </c>
      <c r="BC32" s="59">
        <f>BC27+BC28+BC29+BC30+BC31</f>
        <v/>
      </c>
      <c r="BD32" s="59">
        <f>BD27+BD28+BD29+BD30+BD31</f>
        <v/>
      </c>
      <c r="BE32" s="59">
        <f>BE27+BE28+BE29+BE30+BE31</f>
        <v/>
      </c>
      <c r="BF32" s="59">
        <f>BF27+BF28+BF29+BF30+BF31</f>
        <v/>
      </c>
      <c r="BG32" s="59">
        <f>BG27+BG28+BG29+BG30+BG31</f>
        <v/>
      </c>
      <c r="BH32" s="59">
        <f>BH27+BH28+BH29+BH30+BH31</f>
        <v/>
      </c>
      <c r="BI32" s="59">
        <f>BI27+BI28+BI29+BI30+BI31</f>
        <v/>
      </c>
      <c r="BJ32" s="59">
        <f>BJ27+BJ28+BJ29+BJ30+BJ31</f>
        <v/>
      </c>
      <c r="BK32" s="59">
        <f>BK27+BK28+BK29+BK30+BK31</f>
        <v/>
      </c>
    </row>
    <row r="34" ht="15" customHeight="1" s="35">
      <c r="A34" s="46" t="inlineStr">
        <is>
          <t>── RESULTADO ──</t>
        </is>
      </c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42" t="n"/>
      <c r="AB34" s="42" t="n"/>
      <c r="AC34" s="42" t="n"/>
      <c r="AD34" s="42" t="n"/>
      <c r="AE34" s="42" t="n"/>
      <c r="AF34" s="42" t="n"/>
      <c r="AG34" s="42" t="n"/>
      <c r="AH34" s="42" t="n"/>
      <c r="AI34" s="42" t="n"/>
      <c r="AJ34" s="42" t="n"/>
      <c r="AK34" s="42" t="n"/>
      <c r="AL34" s="42" t="n"/>
      <c r="AM34" s="42" t="n"/>
      <c r="AN34" s="42" t="n"/>
      <c r="AO34" s="42" t="n"/>
      <c r="AP34" s="42" t="n"/>
      <c r="AQ34" s="42" t="n"/>
      <c r="AR34" s="42" t="n"/>
      <c r="AS34" s="42" t="n"/>
      <c r="AT34" s="42" t="n"/>
      <c r="AU34" s="42" t="n"/>
      <c r="AV34" s="42" t="n"/>
      <c r="AW34" s="42" t="n"/>
      <c r="AX34" s="42" t="n"/>
      <c r="AY34" s="42" t="n"/>
      <c r="AZ34" s="42" t="n"/>
      <c r="BA34" s="42" t="n"/>
      <c r="BB34" s="42" t="n"/>
      <c r="BC34" s="42" t="n"/>
      <c r="BD34" s="42" t="n"/>
      <c r="BE34" s="42" t="n"/>
      <c r="BF34" s="42" t="n"/>
      <c r="BG34" s="42" t="n"/>
      <c r="BH34" s="42" t="n"/>
      <c r="BI34" s="42" t="n"/>
      <c r="BJ34" s="42" t="n"/>
      <c r="BK34" s="42" t="n"/>
    </row>
    <row r="35" ht="15" customHeight="1" s="35">
      <c r="A35" s="47" t="inlineStr">
        <is>
          <t>LUCRO LÍQUIDO DO MÊS (R$)</t>
        </is>
      </c>
      <c r="B35" s="53" t="inlineStr">
        <is>
          <t>R$</t>
        </is>
      </c>
      <c r="C35" s="59" t="n">
        <v>0</v>
      </c>
      <c r="D35" s="59">
        <f>D24-D32</f>
        <v/>
      </c>
      <c r="E35" s="59">
        <f>E24-E32</f>
        <v/>
      </c>
      <c r="F35" s="59">
        <f>F24-F32</f>
        <v/>
      </c>
      <c r="G35" s="59">
        <f>G24-G32</f>
        <v/>
      </c>
      <c r="H35" s="59">
        <f>H24-H32</f>
        <v/>
      </c>
      <c r="I35" s="59">
        <f>I24-I32</f>
        <v/>
      </c>
      <c r="J35" s="59">
        <f>J24-J32</f>
        <v/>
      </c>
      <c r="K35" s="59">
        <f>K24-K32</f>
        <v/>
      </c>
      <c r="L35" s="59">
        <f>L24-L32</f>
        <v/>
      </c>
      <c r="M35" s="59">
        <f>M24-M32</f>
        <v/>
      </c>
      <c r="N35" s="59">
        <f>N24-N32</f>
        <v/>
      </c>
      <c r="O35" s="59">
        <f>O24-O32</f>
        <v/>
      </c>
      <c r="P35" s="59">
        <f>P24-P32</f>
        <v/>
      </c>
      <c r="Q35" s="59">
        <f>Q24-Q32</f>
        <v/>
      </c>
      <c r="R35" s="59">
        <f>R24-R32</f>
        <v/>
      </c>
      <c r="S35" s="59">
        <f>S24-S32</f>
        <v/>
      </c>
      <c r="T35" s="59">
        <f>T24-T32</f>
        <v/>
      </c>
      <c r="U35" s="59">
        <f>U24-U32</f>
        <v/>
      </c>
      <c r="V35" s="59">
        <f>V24-V32</f>
        <v/>
      </c>
      <c r="W35" s="59">
        <f>W24-W32</f>
        <v/>
      </c>
      <c r="X35" s="59">
        <f>X24-X32</f>
        <v/>
      </c>
      <c r="Y35" s="59">
        <f>Y24-Y32</f>
        <v/>
      </c>
      <c r="Z35" s="59">
        <f>Z24-Z32</f>
        <v/>
      </c>
      <c r="AA35" s="59">
        <f>AA24-AA32</f>
        <v/>
      </c>
      <c r="AB35" s="59">
        <f>AB24-AB32</f>
        <v/>
      </c>
      <c r="AC35" s="59">
        <f>AC24-AC32</f>
        <v/>
      </c>
      <c r="AD35" s="59">
        <f>AD24-AD32</f>
        <v/>
      </c>
      <c r="AE35" s="59">
        <f>AE24-AE32</f>
        <v/>
      </c>
      <c r="AF35" s="59">
        <f>AF24-AF32</f>
        <v/>
      </c>
      <c r="AG35" s="59">
        <f>AG24-AG32</f>
        <v/>
      </c>
      <c r="AH35" s="59">
        <f>AH24-AH32</f>
        <v/>
      </c>
      <c r="AI35" s="59">
        <f>AI24-AI32</f>
        <v/>
      </c>
      <c r="AJ35" s="59">
        <f>AJ24-AJ32</f>
        <v/>
      </c>
      <c r="AK35" s="59">
        <f>AK24-AK32</f>
        <v/>
      </c>
      <c r="AL35" s="59">
        <f>AL24-AL32</f>
        <v/>
      </c>
      <c r="AM35" s="59">
        <f>AM24-AM32</f>
        <v/>
      </c>
      <c r="AN35" s="59">
        <f>AN24-AN32</f>
        <v/>
      </c>
      <c r="AO35" s="59">
        <f>AO24-AO32</f>
        <v/>
      </c>
      <c r="AP35" s="59">
        <f>AP24-AP32</f>
        <v/>
      </c>
      <c r="AQ35" s="59">
        <f>AQ24-AQ32</f>
        <v/>
      </c>
      <c r="AR35" s="59">
        <f>AR24-AR32</f>
        <v/>
      </c>
      <c r="AS35" s="59">
        <f>AS24-AS32</f>
        <v/>
      </c>
      <c r="AT35" s="59">
        <f>AT24-AT32</f>
        <v/>
      </c>
      <c r="AU35" s="59">
        <f>AU24-AU32</f>
        <v/>
      </c>
      <c r="AV35" s="59">
        <f>AV24-AV32</f>
        <v/>
      </c>
      <c r="AW35" s="59">
        <f>AW24-AW32</f>
        <v/>
      </c>
      <c r="AX35" s="59">
        <f>AX24-AX32</f>
        <v/>
      </c>
      <c r="AY35" s="59">
        <f>AY24-AY32</f>
        <v/>
      </c>
      <c r="AZ35" s="59">
        <f>AZ24-AZ32</f>
        <v/>
      </c>
      <c r="BA35" s="59">
        <f>BA24-BA32</f>
        <v/>
      </c>
      <c r="BB35" s="59">
        <f>BB24-BB32</f>
        <v/>
      </c>
      <c r="BC35" s="59">
        <f>BC24-BC32</f>
        <v/>
      </c>
      <c r="BD35" s="59">
        <f>BD24-BD32</f>
        <v/>
      </c>
      <c r="BE35" s="59">
        <f>BE24-BE32</f>
        <v/>
      </c>
      <c r="BF35" s="59">
        <f>BF24-BF32</f>
        <v/>
      </c>
      <c r="BG35" s="59">
        <f>BG24-BG32</f>
        <v/>
      </c>
      <c r="BH35" s="59">
        <f>BH24-BH32</f>
        <v/>
      </c>
      <c r="BI35" s="59">
        <f>BI24-BI32</f>
        <v/>
      </c>
      <c r="BJ35" s="59">
        <f>BJ24-BJ32</f>
        <v/>
      </c>
      <c r="BK35" s="59">
        <f>BK24-BK32</f>
        <v/>
      </c>
    </row>
    <row r="36" ht="15" customHeight="1" s="35">
      <c r="A36" s="47" t="inlineStr">
        <is>
          <t>CAIXA ACUMULADO (R$)</t>
        </is>
      </c>
      <c r="B36" s="53" t="inlineStr">
        <is>
          <t>R$</t>
        </is>
      </c>
      <c r="C36" s="59">
        <f>Premissas!$B$33</f>
        <v/>
      </c>
      <c r="D36" s="59">
        <f>C36+D35</f>
        <v/>
      </c>
      <c r="E36" s="59">
        <f>D36+E35</f>
        <v/>
      </c>
      <c r="F36" s="59">
        <f>E36+F35</f>
        <v/>
      </c>
      <c r="G36" s="59">
        <f>F36+G35</f>
        <v/>
      </c>
      <c r="H36" s="59">
        <f>G36+H35</f>
        <v/>
      </c>
      <c r="I36" s="59">
        <f>H36+I35</f>
        <v/>
      </c>
      <c r="J36" s="59">
        <f>I36+J35</f>
        <v/>
      </c>
      <c r="K36" s="59">
        <f>J36+K35</f>
        <v/>
      </c>
      <c r="L36" s="59">
        <f>K36+L35</f>
        <v/>
      </c>
      <c r="M36" s="59">
        <f>L36+M35</f>
        <v/>
      </c>
      <c r="N36" s="59">
        <f>M36+N35</f>
        <v/>
      </c>
      <c r="O36" s="59">
        <f>N36+O35</f>
        <v/>
      </c>
      <c r="P36" s="59">
        <f>O36+P35</f>
        <v/>
      </c>
      <c r="Q36" s="59">
        <f>P36+Q35</f>
        <v/>
      </c>
      <c r="R36" s="59">
        <f>Q36+R35</f>
        <v/>
      </c>
      <c r="S36" s="59">
        <f>R36+S35</f>
        <v/>
      </c>
      <c r="T36" s="59">
        <f>S36+T35</f>
        <v/>
      </c>
      <c r="U36" s="59">
        <f>T36+U35</f>
        <v/>
      </c>
      <c r="V36" s="59">
        <f>U36+V35</f>
        <v/>
      </c>
      <c r="W36" s="59">
        <f>V36+W35</f>
        <v/>
      </c>
      <c r="X36" s="59">
        <f>W36+X35</f>
        <v/>
      </c>
      <c r="Y36" s="59">
        <f>X36+Y35</f>
        <v/>
      </c>
      <c r="Z36" s="59">
        <f>Y36+Z35</f>
        <v/>
      </c>
      <c r="AA36" s="59">
        <f>Z36+AA35</f>
        <v/>
      </c>
      <c r="AB36" s="59">
        <f>AA36+AB35</f>
        <v/>
      </c>
      <c r="AC36" s="59">
        <f>AB36+AC35</f>
        <v/>
      </c>
      <c r="AD36" s="59">
        <f>AC36+AD35</f>
        <v/>
      </c>
      <c r="AE36" s="59">
        <f>AD36+AE35</f>
        <v/>
      </c>
      <c r="AF36" s="59">
        <f>AE36+AF35</f>
        <v/>
      </c>
      <c r="AG36" s="59">
        <f>AF36+AG35</f>
        <v/>
      </c>
      <c r="AH36" s="59">
        <f>AG36+AH35</f>
        <v/>
      </c>
      <c r="AI36" s="59">
        <f>AH36+AI35</f>
        <v/>
      </c>
      <c r="AJ36" s="59">
        <f>AI36+AJ35</f>
        <v/>
      </c>
      <c r="AK36" s="59">
        <f>AJ36+AK35</f>
        <v/>
      </c>
      <c r="AL36" s="59">
        <f>AK36+AL35</f>
        <v/>
      </c>
      <c r="AM36" s="59">
        <f>AL36+AM35</f>
        <v/>
      </c>
      <c r="AN36" s="59">
        <f>AM36+AN35</f>
        <v/>
      </c>
      <c r="AO36" s="59">
        <f>AN36+AO35</f>
        <v/>
      </c>
      <c r="AP36" s="59">
        <f>AO36+AP35</f>
        <v/>
      </c>
      <c r="AQ36" s="59">
        <f>AP36+AQ35</f>
        <v/>
      </c>
      <c r="AR36" s="59">
        <f>AQ36+AR35</f>
        <v/>
      </c>
      <c r="AS36" s="59">
        <f>AR36+AS35</f>
        <v/>
      </c>
      <c r="AT36" s="59">
        <f>AS36+AT35</f>
        <v/>
      </c>
      <c r="AU36" s="59">
        <f>AT36+AU35</f>
        <v/>
      </c>
      <c r="AV36" s="59">
        <f>AU36+AV35</f>
        <v/>
      </c>
      <c r="AW36" s="59">
        <f>AV36+AW35</f>
        <v/>
      </c>
      <c r="AX36" s="59">
        <f>AW36+AX35</f>
        <v/>
      </c>
      <c r="AY36" s="59">
        <f>AX36+AY35</f>
        <v/>
      </c>
      <c r="AZ36" s="59">
        <f>AY36+AZ35</f>
        <v/>
      </c>
      <c r="BA36" s="59">
        <f>AZ36+BA35</f>
        <v/>
      </c>
      <c r="BB36" s="59">
        <f>BA36+BB35</f>
        <v/>
      </c>
      <c r="BC36" s="59">
        <f>BB36+BC35</f>
        <v/>
      </c>
      <c r="BD36" s="59">
        <f>BC36+BD35</f>
        <v/>
      </c>
      <c r="BE36" s="59">
        <f>BD36+BE35</f>
        <v/>
      </c>
      <c r="BF36" s="59">
        <f>BE36+BF35</f>
        <v/>
      </c>
      <c r="BG36" s="59">
        <f>BF36+BG35</f>
        <v/>
      </c>
      <c r="BH36" s="59">
        <f>BG36+BH35</f>
        <v/>
      </c>
      <c r="BI36" s="59">
        <f>BH36+BI35</f>
        <v/>
      </c>
      <c r="BJ36" s="59">
        <f>BI36+BJ35</f>
        <v/>
      </c>
      <c r="BK36" s="59">
        <f>BJ36+BK35</f>
        <v/>
      </c>
    </row>
  </sheetData>
  <mergeCells count="5">
    <mergeCell ref="P3:AA3"/>
    <mergeCell ref="D3:O3"/>
    <mergeCell ref="AB3:AM3"/>
    <mergeCell ref="AZ3:BK3"/>
    <mergeCell ref="AN3:AY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K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6" customWidth="1" style="34" min="1" max="1"/>
    <col width="8" customWidth="1" style="34" min="2" max="2"/>
    <col width="11" customWidth="1" style="34" min="3" max="63"/>
  </cols>
  <sheetData>
    <row r="1" ht="17.35" customHeight="1" s="35">
      <c r="A1" s="36" t="inlineStr">
        <is>
          <t>Cenário Realista — Projeção Mês a Mês (Lançamento + 60 meses = 5 anos)</t>
        </is>
      </c>
    </row>
    <row r="2" ht="15" customHeight="1" s="35">
      <c r="A2" s="53" t="inlineStr">
        <is>
          <t>Todas as células desta aba são fórmula. Premissas (azul) ficam só na aba 'Premissas'.</t>
        </is>
      </c>
    </row>
    <row r="3" ht="26.85" customHeight="1" s="35">
      <c r="A3" s="61" t="inlineStr">
        <is>
          <t>Métrica</t>
        </is>
      </c>
      <c r="B3" s="61" t="inlineStr">
        <is>
          <t>Unid.</t>
        </is>
      </c>
      <c r="C3" s="61" t="inlineStr">
        <is>
          <t>Lança-
mento</t>
        </is>
      </c>
      <c r="D3" s="61" t="inlineStr">
        <is>
          <t>Ano 1</t>
        </is>
      </c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6" t="n"/>
      <c r="P3" s="61" t="inlineStr">
        <is>
          <t>Ano 2</t>
        </is>
      </c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  <c r="Z3" s="55" t="n"/>
      <c r="AA3" s="56" t="n"/>
      <c r="AB3" s="61" t="inlineStr">
        <is>
          <t>Ano 3</t>
        </is>
      </c>
      <c r="AC3" s="55" t="n"/>
      <c r="AD3" s="55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6" t="n"/>
      <c r="AN3" s="61" t="inlineStr">
        <is>
          <t>Ano 4</t>
        </is>
      </c>
      <c r="AO3" s="55" t="n"/>
      <c r="AP3" s="55" t="n"/>
      <c r="AQ3" s="55" t="n"/>
      <c r="AR3" s="55" t="n"/>
      <c r="AS3" s="55" t="n"/>
      <c r="AT3" s="55" t="n"/>
      <c r="AU3" s="55" t="n"/>
      <c r="AV3" s="55" t="n"/>
      <c r="AW3" s="55" t="n"/>
      <c r="AX3" s="55" t="n"/>
      <c r="AY3" s="56" t="n"/>
      <c r="AZ3" s="61" t="inlineStr">
        <is>
          <t>Ano 5</t>
        </is>
      </c>
      <c r="BA3" s="55" t="n"/>
      <c r="BB3" s="55" t="n"/>
      <c r="BC3" s="55" t="n"/>
      <c r="BD3" s="55" t="n"/>
      <c r="BE3" s="55" t="n"/>
      <c r="BF3" s="55" t="n"/>
      <c r="BG3" s="55" t="n"/>
      <c r="BH3" s="55" t="n"/>
      <c r="BI3" s="55" t="n"/>
      <c r="BJ3" s="55" t="n"/>
      <c r="BK3" s="56" t="n"/>
    </row>
    <row r="4" ht="15" customHeight="1" s="35">
      <c r="A4" s="41" t="inlineStr">
        <is>
          <t>── FUNIL DE USUÁRIOS ──</t>
        </is>
      </c>
      <c r="B4" s="57" t="n"/>
      <c r="C4" s="57" t="inlineStr">
        <is>
          <t>0</t>
        </is>
      </c>
      <c r="D4" s="57" t="inlineStr">
        <is>
          <t>1</t>
        </is>
      </c>
      <c r="E4" s="57" t="inlineStr">
        <is>
          <t>2</t>
        </is>
      </c>
      <c r="F4" s="57" t="inlineStr">
        <is>
          <t>3</t>
        </is>
      </c>
      <c r="G4" s="57" t="inlineStr">
        <is>
          <t>4</t>
        </is>
      </c>
      <c r="H4" s="57" t="inlineStr">
        <is>
          <t>5</t>
        </is>
      </c>
      <c r="I4" s="57" t="inlineStr">
        <is>
          <t>6</t>
        </is>
      </c>
      <c r="J4" s="57" t="inlineStr">
        <is>
          <t>7</t>
        </is>
      </c>
      <c r="K4" s="57" t="inlineStr">
        <is>
          <t>8</t>
        </is>
      </c>
      <c r="L4" s="57" t="inlineStr">
        <is>
          <t>9</t>
        </is>
      </c>
      <c r="M4" s="57" t="inlineStr">
        <is>
          <t>10</t>
        </is>
      </c>
      <c r="N4" s="57" t="inlineStr">
        <is>
          <t>11</t>
        </is>
      </c>
      <c r="O4" s="57" t="inlineStr">
        <is>
          <t>12</t>
        </is>
      </c>
      <c r="P4" s="57" t="inlineStr">
        <is>
          <t>13</t>
        </is>
      </c>
      <c r="Q4" s="57" t="inlineStr">
        <is>
          <t>14</t>
        </is>
      </c>
      <c r="R4" s="57" t="inlineStr">
        <is>
          <t>15</t>
        </is>
      </c>
      <c r="S4" s="57" t="inlineStr">
        <is>
          <t>16</t>
        </is>
      </c>
      <c r="T4" s="57" t="inlineStr">
        <is>
          <t>17</t>
        </is>
      </c>
      <c r="U4" s="57" t="inlineStr">
        <is>
          <t>18</t>
        </is>
      </c>
      <c r="V4" s="57" t="inlineStr">
        <is>
          <t>19</t>
        </is>
      </c>
      <c r="W4" s="57" t="inlineStr">
        <is>
          <t>20</t>
        </is>
      </c>
      <c r="X4" s="57" t="inlineStr">
        <is>
          <t>21</t>
        </is>
      </c>
      <c r="Y4" s="57" t="inlineStr">
        <is>
          <t>22</t>
        </is>
      </c>
      <c r="Z4" s="57" t="inlineStr">
        <is>
          <t>23</t>
        </is>
      </c>
      <c r="AA4" s="57" t="inlineStr">
        <is>
          <t>24</t>
        </is>
      </c>
      <c r="AB4" s="57" t="inlineStr">
        <is>
          <t>25</t>
        </is>
      </c>
      <c r="AC4" s="57" t="inlineStr">
        <is>
          <t>26</t>
        </is>
      </c>
      <c r="AD4" s="57" t="inlineStr">
        <is>
          <t>27</t>
        </is>
      </c>
      <c r="AE4" s="57" t="inlineStr">
        <is>
          <t>28</t>
        </is>
      </c>
      <c r="AF4" s="57" t="inlineStr">
        <is>
          <t>29</t>
        </is>
      </c>
      <c r="AG4" s="57" t="inlineStr">
        <is>
          <t>30</t>
        </is>
      </c>
      <c r="AH4" s="57" t="inlineStr">
        <is>
          <t>31</t>
        </is>
      </c>
      <c r="AI4" s="57" t="inlineStr">
        <is>
          <t>32</t>
        </is>
      </c>
      <c r="AJ4" s="57" t="inlineStr">
        <is>
          <t>33</t>
        </is>
      </c>
      <c r="AK4" s="57" t="inlineStr">
        <is>
          <t>34</t>
        </is>
      </c>
      <c r="AL4" s="57" t="inlineStr">
        <is>
          <t>35</t>
        </is>
      </c>
      <c r="AM4" s="57" t="inlineStr">
        <is>
          <t>36</t>
        </is>
      </c>
      <c r="AN4" s="57" t="inlineStr">
        <is>
          <t>37</t>
        </is>
      </c>
      <c r="AO4" s="57" t="inlineStr">
        <is>
          <t>38</t>
        </is>
      </c>
      <c r="AP4" s="57" t="inlineStr">
        <is>
          <t>39</t>
        </is>
      </c>
      <c r="AQ4" s="57" t="inlineStr">
        <is>
          <t>40</t>
        </is>
      </c>
      <c r="AR4" s="57" t="inlineStr">
        <is>
          <t>41</t>
        </is>
      </c>
      <c r="AS4" s="57" t="inlineStr">
        <is>
          <t>42</t>
        </is>
      </c>
      <c r="AT4" s="57" t="inlineStr">
        <is>
          <t>43</t>
        </is>
      </c>
      <c r="AU4" s="57" t="inlineStr">
        <is>
          <t>44</t>
        </is>
      </c>
      <c r="AV4" s="57" t="inlineStr">
        <is>
          <t>45</t>
        </is>
      </c>
      <c r="AW4" s="57" t="inlineStr">
        <is>
          <t>46</t>
        </is>
      </c>
      <c r="AX4" s="57" t="inlineStr">
        <is>
          <t>47</t>
        </is>
      </c>
      <c r="AY4" s="57" t="inlineStr">
        <is>
          <t>48</t>
        </is>
      </c>
      <c r="AZ4" s="57" t="inlineStr">
        <is>
          <t>49</t>
        </is>
      </c>
      <c r="BA4" s="57" t="inlineStr">
        <is>
          <t>50</t>
        </is>
      </c>
      <c r="BB4" s="57" t="inlineStr">
        <is>
          <t>51</t>
        </is>
      </c>
      <c r="BC4" s="57" t="inlineStr">
        <is>
          <t>52</t>
        </is>
      </c>
      <c r="BD4" s="57" t="inlineStr">
        <is>
          <t>53</t>
        </is>
      </c>
      <c r="BE4" s="57" t="inlineStr">
        <is>
          <t>54</t>
        </is>
      </c>
      <c r="BF4" s="57" t="inlineStr">
        <is>
          <t>55</t>
        </is>
      </c>
      <c r="BG4" s="57" t="inlineStr">
        <is>
          <t>56</t>
        </is>
      </c>
      <c r="BH4" s="57" t="inlineStr">
        <is>
          <t>57</t>
        </is>
      </c>
      <c r="BI4" s="57" t="inlineStr">
        <is>
          <t>58</t>
        </is>
      </c>
      <c r="BJ4" s="57" t="inlineStr">
        <is>
          <t>59</t>
        </is>
      </c>
      <c r="BK4" s="57" t="inlineStr">
        <is>
          <t>60</t>
        </is>
      </c>
    </row>
    <row r="6" ht="15" customHeight="1" s="35">
      <c r="A6" s="43" t="inlineStr">
        <is>
          <t>Novos cadastros Node: Starter (qtd)</t>
        </is>
      </c>
      <c r="B6" s="53" t="inlineStr">
        <is>
          <t>qtd</t>
        </is>
      </c>
      <c r="C6" s="58" t="n">
        <v>0</v>
      </c>
      <c r="D6" s="58">
        <f>MIN(Premissas!$C$9,Premissas!$C$11)</f>
        <v/>
      </c>
      <c r="E6" s="58">
        <f>MIN(D6*(1+Premissas!$C$10),Premissas!$C$11)</f>
        <v/>
      </c>
      <c r="F6" s="58">
        <f>MIN(E6*(1+Premissas!$C$10),Premissas!$C$11)</f>
        <v/>
      </c>
      <c r="G6" s="58">
        <f>MIN(F6*(1+Premissas!$C$10),Premissas!$C$11)</f>
        <v/>
      </c>
      <c r="H6" s="58">
        <f>MIN(G6*(1+Premissas!$C$10),Premissas!$C$11)</f>
        <v/>
      </c>
      <c r="I6" s="58">
        <f>MIN(H6*(1+Premissas!$C$10),Premissas!$C$11)</f>
        <v/>
      </c>
      <c r="J6" s="58">
        <f>MIN(I6*(1+Premissas!$C$10),Premissas!$C$11)</f>
        <v/>
      </c>
      <c r="K6" s="58">
        <f>MIN(J6*(1+Premissas!$C$10),Premissas!$C$11)</f>
        <v/>
      </c>
      <c r="L6" s="58">
        <f>MIN(K6*(1+Premissas!$C$10),Premissas!$C$11)</f>
        <v/>
      </c>
      <c r="M6" s="58">
        <f>MIN(L6*(1+Premissas!$C$10),Premissas!$C$11)</f>
        <v/>
      </c>
      <c r="N6" s="58">
        <f>MIN(M6*(1+Premissas!$C$10),Premissas!$C$11)</f>
        <v/>
      </c>
      <c r="O6" s="58">
        <f>MIN(N6*(1+Premissas!$C$10),Premissas!$C$11)</f>
        <v/>
      </c>
      <c r="P6" s="58">
        <f>MIN(O6*(1+Premissas!$C$10),Premissas!$C$11)</f>
        <v/>
      </c>
      <c r="Q6" s="58">
        <f>MIN(P6*(1+Premissas!$C$10),Premissas!$C$11)</f>
        <v/>
      </c>
      <c r="R6" s="58">
        <f>MIN(Q6*(1+Premissas!$C$10),Premissas!$C$11)</f>
        <v/>
      </c>
      <c r="S6" s="58">
        <f>MIN(R6*(1+Premissas!$C$10),Premissas!$C$11)</f>
        <v/>
      </c>
      <c r="T6" s="58">
        <f>MIN(S6*(1+Premissas!$C$10),Premissas!$C$11)</f>
        <v/>
      </c>
      <c r="U6" s="58">
        <f>MIN(T6*(1+Premissas!$C$10),Premissas!$C$11)</f>
        <v/>
      </c>
      <c r="V6" s="58">
        <f>MIN(U6*(1+Premissas!$C$10),Premissas!$C$11)</f>
        <v/>
      </c>
      <c r="W6" s="58">
        <f>MIN(V6*(1+Premissas!$C$10),Premissas!$C$11)</f>
        <v/>
      </c>
      <c r="X6" s="58">
        <f>MIN(W6*(1+Premissas!$C$10),Premissas!$C$11)</f>
        <v/>
      </c>
      <c r="Y6" s="58">
        <f>MIN(X6*(1+Premissas!$C$10),Premissas!$C$11)</f>
        <v/>
      </c>
      <c r="Z6" s="58">
        <f>MIN(Y6*(1+Premissas!$C$10),Premissas!$C$11)</f>
        <v/>
      </c>
      <c r="AA6" s="58">
        <f>MIN(Z6*(1+Premissas!$C$10),Premissas!$C$11)</f>
        <v/>
      </c>
      <c r="AB6" s="58">
        <f>MIN(AA6*(1+Premissas!$C$10),Premissas!$C$11)</f>
        <v/>
      </c>
      <c r="AC6" s="58">
        <f>MIN(AB6*(1+Premissas!$C$10),Premissas!$C$11)</f>
        <v/>
      </c>
      <c r="AD6" s="58">
        <f>MIN(AC6*(1+Premissas!$C$10),Premissas!$C$11)</f>
        <v/>
      </c>
      <c r="AE6" s="58">
        <f>MIN(AD6*(1+Premissas!$C$10),Premissas!$C$11)</f>
        <v/>
      </c>
      <c r="AF6" s="58">
        <f>MIN(AE6*(1+Premissas!$C$10),Premissas!$C$11)</f>
        <v/>
      </c>
      <c r="AG6" s="58">
        <f>MIN(AF6*(1+Premissas!$C$10),Premissas!$C$11)</f>
        <v/>
      </c>
      <c r="AH6" s="58">
        <f>MIN(AG6*(1+Premissas!$C$10),Premissas!$C$11)</f>
        <v/>
      </c>
      <c r="AI6" s="58">
        <f>MIN(AH6*(1+Premissas!$C$10),Premissas!$C$11)</f>
        <v/>
      </c>
      <c r="AJ6" s="58">
        <f>MIN(AI6*(1+Premissas!$C$10),Premissas!$C$11)</f>
        <v/>
      </c>
      <c r="AK6" s="58">
        <f>MIN(AJ6*(1+Premissas!$C$10),Premissas!$C$11)</f>
        <v/>
      </c>
      <c r="AL6" s="58">
        <f>MIN(AK6*(1+Premissas!$C$10),Premissas!$C$11)</f>
        <v/>
      </c>
      <c r="AM6" s="58">
        <f>MIN(AL6*(1+Premissas!$C$10),Premissas!$C$11)</f>
        <v/>
      </c>
      <c r="AN6" s="58">
        <f>MIN(AM6*(1+Premissas!$C$10),Premissas!$C$11)</f>
        <v/>
      </c>
      <c r="AO6" s="58">
        <f>MIN(AN6*(1+Premissas!$C$10),Premissas!$C$11)</f>
        <v/>
      </c>
      <c r="AP6" s="58">
        <f>MIN(AO6*(1+Premissas!$C$10),Premissas!$C$11)</f>
        <v/>
      </c>
      <c r="AQ6" s="58">
        <f>MIN(AP6*(1+Premissas!$C$10),Premissas!$C$11)</f>
        <v/>
      </c>
      <c r="AR6" s="58">
        <f>MIN(AQ6*(1+Premissas!$C$10),Premissas!$C$11)</f>
        <v/>
      </c>
      <c r="AS6" s="58">
        <f>MIN(AR6*(1+Premissas!$C$10),Premissas!$C$11)</f>
        <v/>
      </c>
      <c r="AT6" s="58">
        <f>MIN(AS6*(1+Premissas!$C$10),Premissas!$C$11)</f>
        <v/>
      </c>
      <c r="AU6" s="58">
        <f>MIN(AT6*(1+Premissas!$C$10),Premissas!$C$11)</f>
        <v/>
      </c>
      <c r="AV6" s="58">
        <f>MIN(AU6*(1+Premissas!$C$10),Premissas!$C$11)</f>
        <v/>
      </c>
      <c r="AW6" s="58">
        <f>MIN(AV6*(1+Premissas!$C$10),Premissas!$C$11)</f>
        <v/>
      </c>
      <c r="AX6" s="58">
        <f>MIN(AW6*(1+Premissas!$C$10),Premissas!$C$11)</f>
        <v/>
      </c>
      <c r="AY6" s="58">
        <f>MIN(AX6*(1+Premissas!$C$10),Premissas!$C$11)</f>
        <v/>
      </c>
      <c r="AZ6" s="58">
        <f>MIN(AY6*(1+Premissas!$C$10),Premissas!$C$11)</f>
        <v/>
      </c>
      <c r="BA6" s="58">
        <f>MIN(AZ6*(1+Premissas!$C$10),Premissas!$C$11)</f>
        <v/>
      </c>
      <c r="BB6" s="58">
        <f>MIN(BA6*(1+Premissas!$C$10),Premissas!$C$11)</f>
        <v/>
      </c>
      <c r="BC6" s="58">
        <f>MIN(BB6*(1+Premissas!$C$10),Premissas!$C$11)</f>
        <v/>
      </c>
      <c r="BD6" s="58">
        <f>MIN(BC6*(1+Premissas!$C$10),Premissas!$C$11)</f>
        <v/>
      </c>
      <c r="BE6" s="58">
        <f>MIN(BD6*(1+Premissas!$C$10),Premissas!$C$11)</f>
        <v/>
      </c>
      <c r="BF6" s="58">
        <f>MIN(BE6*(1+Premissas!$C$10),Premissas!$C$11)</f>
        <v/>
      </c>
      <c r="BG6" s="58">
        <f>MIN(BF6*(1+Premissas!$C$10),Premissas!$C$11)</f>
        <v/>
      </c>
      <c r="BH6" s="58">
        <f>MIN(BG6*(1+Premissas!$C$10),Premissas!$C$11)</f>
        <v/>
      </c>
      <c r="BI6" s="58">
        <f>MIN(BH6*(1+Premissas!$C$10),Premissas!$C$11)</f>
        <v/>
      </c>
      <c r="BJ6" s="58">
        <f>MIN(BI6*(1+Premissas!$C$10),Premissas!$C$11)</f>
        <v/>
      </c>
      <c r="BK6" s="58">
        <f>MIN(BJ6*(1+Premissas!$C$10),Premissas!$C$11)</f>
        <v/>
      </c>
    </row>
    <row r="7" ht="15" customHeight="1" s="35">
      <c r="A7" s="43" t="inlineStr">
        <is>
          <t>Convertidos Starter → Pago no mês (qtd)</t>
        </is>
      </c>
      <c r="B7" s="53" t="inlineStr">
        <is>
          <t>qtd</t>
        </is>
      </c>
      <c r="C7" s="58" t="n">
        <v>0</v>
      </c>
      <c r="D7" s="58" t="n">
        <v>0</v>
      </c>
      <c r="E7" s="58">
        <f>C6*Premissas!$C$12</f>
        <v/>
      </c>
      <c r="F7" s="58">
        <f>D6*Premissas!$C$12</f>
        <v/>
      </c>
      <c r="G7" s="58">
        <f>E6*Premissas!$C$12</f>
        <v/>
      </c>
      <c r="H7" s="58">
        <f>F6*Premissas!$C$12</f>
        <v/>
      </c>
      <c r="I7" s="58">
        <f>G6*Premissas!$C$12</f>
        <v/>
      </c>
      <c r="J7" s="58">
        <f>H6*Premissas!$C$12</f>
        <v/>
      </c>
      <c r="K7" s="58">
        <f>I6*Premissas!$C$12</f>
        <v/>
      </c>
      <c r="L7" s="58">
        <f>J6*Premissas!$C$12</f>
        <v/>
      </c>
      <c r="M7" s="58">
        <f>K6*Premissas!$C$12</f>
        <v/>
      </c>
      <c r="N7" s="58">
        <f>L6*Premissas!$C$12</f>
        <v/>
      </c>
      <c r="O7" s="58">
        <f>M6*Premissas!$C$12</f>
        <v/>
      </c>
      <c r="P7" s="58">
        <f>N6*Premissas!$C$12</f>
        <v/>
      </c>
      <c r="Q7" s="58">
        <f>O6*Premissas!$C$12</f>
        <v/>
      </c>
      <c r="R7" s="58">
        <f>P6*Premissas!$C$12</f>
        <v/>
      </c>
      <c r="S7" s="58">
        <f>Q6*Premissas!$C$12</f>
        <v/>
      </c>
      <c r="T7" s="58">
        <f>R6*Premissas!$C$12</f>
        <v/>
      </c>
      <c r="U7" s="58">
        <f>S6*Premissas!$C$12</f>
        <v/>
      </c>
      <c r="V7" s="58">
        <f>T6*Premissas!$C$12</f>
        <v/>
      </c>
      <c r="W7" s="58">
        <f>U6*Premissas!$C$12</f>
        <v/>
      </c>
      <c r="X7" s="58">
        <f>V6*Premissas!$C$12</f>
        <v/>
      </c>
      <c r="Y7" s="58">
        <f>W6*Premissas!$C$12</f>
        <v/>
      </c>
      <c r="Z7" s="58">
        <f>X6*Premissas!$C$12</f>
        <v/>
      </c>
      <c r="AA7" s="58">
        <f>Y6*Premissas!$C$12</f>
        <v/>
      </c>
      <c r="AB7" s="58">
        <f>Z6*Premissas!$C$12</f>
        <v/>
      </c>
      <c r="AC7" s="58">
        <f>AA6*Premissas!$C$12</f>
        <v/>
      </c>
      <c r="AD7" s="58">
        <f>AB6*Premissas!$C$12</f>
        <v/>
      </c>
      <c r="AE7" s="58">
        <f>AC6*Premissas!$C$12</f>
        <v/>
      </c>
      <c r="AF7" s="58">
        <f>AD6*Premissas!$C$12</f>
        <v/>
      </c>
      <c r="AG7" s="58">
        <f>AE6*Premissas!$C$12</f>
        <v/>
      </c>
      <c r="AH7" s="58">
        <f>AF6*Premissas!$C$12</f>
        <v/>
      </c>
      <c r="AI7" s="58">
        <f>AG6*Premissas!$C$12</f>
        <v/>
      </c>
      <c r="AJ7" s="58">
        <f>AH6*Premissas!$C$12</f>
        <v/>
      </c>
      <c r="AK7" s="58">
        <f>AI6*Premissas!$C$12</f>
        <v/>
      </c>
      <c r="AL7" s="58">
        <f>AJ6*Premissas!$C$12</f>
        <v/>
      </c>
      <c r="AM7" s="58">
        <f>AK6*Premissas!$C$12</f>
        <v/>
      </c>
      <c r="AN7" s="58">
        <f>AL6*Premissas!$C$12</f>
        <v/>
      </c>
      <c r="AO7" s="58">
        <f>AM6*Premissas!$C$12</f>
        <v/>
      </c>
      <c r="AP7" s="58">
        <f>AN6*Premissas!$C$12</f>
        <v/>
      </c>
      <c r="AQ7" s="58">
        <f>AO6*Premissas!$C$12</f>
        <v/>
      </c>
      <c r="AR7" s="58">
        <f>AP6*Premissas!$C$12</f>
        <v/>
      </c>
      <c r="AS7" s="58">
        <f>AQ6*Premissas!$C$12</f>
        <v/>
      </c>
      <c r="AT7" s="58">
        <f>AR6*Premissas!$C$12</f>
        <v/>
      </c>
      <c r="AU7" s="58">
        <f>AS6*Premissas!$C$12</f>
        <v/>
      </c>
      <c r="AV7" s="58">
        <f>AT6*Premissas!$C$12</f>
        <v/>
      </c>
      <c r="AW7" s="58">
        <f>AU6*Premissas!$C$12</f>
        <v/>
      </c>
      <c r="AX7" s="58">
        <f>AV6*Premissas!$C$12</f>
        <v/>
      </c>
      <c r="AY7" s="58">
        <f>AW6*Premissas!$C$12</f>
        <v/>
      </c>
      <c r="AZ7" s="58">
        <f>AX6*Premissas!$C$12</f>
        <v/>
      </c>
      <c r="BA7" s="58">
        <f>AY6*Premissas!$C$12</f>
        <v/>
      </c>
      <c r="BB7" s="58">
        <f>AZ6*Premissas!$C$12</f>
        <v/>
      </c>
      <c r="BC7" s="58">
        <f>BA6*Premissas!$C$12</f>
        <v/>
      </c>
      <c r="BD7" s="58">
        <f>BB6*Premissas!$C$12</f>
        <v/>
      </c>
      <c r="BE7" s="58">
        <f>BC6*Premissas!$C$12</f>
        <v/>
      </c>
      <c r="BF7" s="58">
        <f>BD6*Premissas!$C$12</f>
        <v/>
      </c>
      <c r="BG7" s="58">
        <f>BE6*Premissas!$C$12</f>
        <v/>
      </c>
      <c r="BH7" s="58">
        <f>BF6*Premissas!$C$12</f>
        <v/>
      </c>
      <c r="BI7" s="58">
        <f>BG6*Premissas!$C$12</f>
        <v/>
      </c>
      <c r="BJ7" s="58">
        <f>BH6*Premissas!$C$12</f>
        <v/>
      </c>
      <c r="BK7" s="58">
        <f>BI6*Premissas!$C$12</f>
        <v/>
      </c>
    </row>
    <row r="8" ht="15" customHeight="1" s="35">
      <c r="A8" s="43" t="inlineStr">
        <is>
          <t>Node: Starter ativos (qtd)</t>
        </is>
      </c>
      <c r="B8" s="53" t="inlineStr">
        <is>
          <t>qtd</t>
        </is>
      </c>
      <c r="C8" s="58" t="n">
        <v>0</v>
      </c>
      <c r="D8" s="58">
        <f>C8*(1-Premissas!$C$14)+D6-D7</f>
        <v/>
      </c>
      <c r="E8" s="58">
        <f>D8*(1-Premissas!$C$14)+E6-E7</f>
        <v/>
      </c>
      <c r="F8" s="58">
        <f>E8*(1-Premissas!$C$14)+F6-F7</f>
        <v/>
      </c>
      <c r="G8" s="58">
        <f>F8*(1-Premissas!$C$14)+G6-G7</f>
        <v/>
      </c>
      <c r="H8" s="58">
        <f>G8*(1-Premissas!$C$14)+H6-H7</f>
        <v/>
      </c>
      <c r="I8" s="58">
        <f>H8*(1-Premissas!$C$14)+I6-I7</f>
        <v/>
      </c>
      <c r="J8" s="58">
        <f>I8*(1-Premissas!$C$14)+J6-J7</f>
        <v/>
      </c>
      <c r="K8" s="58">
        <f>J8*(1-Premissas!$C$14)+K6-K7</f>
        <v/>
      </c>
      <c r="L8" s="58">
        <f>K8*(1-Premissas!$C$14)+L6-L7</f>
        <v/>
      </c>
      <c r="M8" s="58">
        <f>L8*(1-Premissas!$C$14)+M6-M7</f>
        <v/>
      </c>
      <c r="N8" s="58">
        <f>M8*(1-Premissas!$C$14)+N6-N7</f>
        <v/>
      </c>
      <c r="O8" s="58">
        <f>N8*(1-Premissas!$C$14)+O6-O7</f>
        <v/>
      </c>
      <c r="P8" s="58">
        <f>O8*(1-Premissas!$C$14)+P6-P7</f>
        <v/>
      </c>
      <c r="Q8" s="58">
        <f>P8*(1-Premissas!$C$14)+Q6-Q7</f>
        <v/>
      </c>
      <c r="R8" s="58">
        <f>Q8*(1-Premissas!$C$14)+R6-R7</f>
        <v/>
      </c>
      <c r="S8" s="58">
        <f>R8*(1-Premissas!$C$14)+S6-S7</f>
        <v/>
      </c>
      <c r="T8" s="58">
        <f>S8*(1-Premissas!$C$14)+T6-T7</f>
        <v/>
      </c>
      <c r="U8" s="58">
        <f>T8*(1-Premissas!$C$14)+U6-U7</f>
        <v/>
      </c>
      <c r="V8" s="58">
        <f>U8*(1-Premissas!$C$14)+V6-V7</f>
        <v/>
      </c>
      <c r="W8" s="58">
        <f>V8*(1-Premissas!$C$14)+W6-W7</f>
        <v/>
      </c>
      <c r="X8" s="58">
        <f>W8*(1-Premissas!$C$14)+X6-X7</f>
        <v/>
      </c>
      <c r="Y8" s="58">
        <f>X8*(1-Premissas!$C$14)+Y6-Y7</f>
        <v/>
      </c>
      <c r="Z8" s="58">
        <f>Y8*(1-Premissas!$C$14)+Z6-Z7</f>
        <v/>
      </c>
      <c r="AA8" s="58">
        <f>Z8*(1-Premissas!$C$14)+AA6-AA7</f>
        <v/>
      </c>
      <c r="AB8" s="58">
        <f>AA8*(1-Premissas!$C$14)+AB6-AB7</f>
        <v/>
      </c>
      <c r="AC8" s="58">
        <f>AB8*(1-Premissas!$C$14)+AC6-AC7</f>
        <v/>
      </c>
      <c r="AD8" s="58">
        <f>AC8*(1-Premissas!$C$14)+AD6-AD7</f>
        <v/>
      </c>
      <c r="AE8" s="58">
        <f>AD8*(1-Premissas!$C$14)+AE6-AE7</f>
        <v/>
      </c>
      <c r="AF8" s="58">
        <f>AE8*(1-Premissas!$C$14)+AF6-AF7</f>
        <v/>
      </c>
      <c r="AG8" s="58">
        <f>AF8*(1-Premissas!$C$14)+AG6-AG7</f>
        <v/>
      </c>
      <c r="AH8" s="58">
        <f>AG8*(1-Premissas!$C$14)+AH6-AH7</f>
        <v/>
      </c>
      <c r="AI8" s="58">
        <f>AH8*(1-Premissas!$C$14)+AI6-AI7</f>
        <v/>
      </c>
      <c r="AJ8" s="58">
        <f>AI8*(1-Premissas!$C$14)+AJ6-AJ7</f>
        <v/>
      </c>
      <c r="AK8" s="58">
        <f>AJ8*(1-Premissas!$C$14)+AK6-AK7</f>
        <v/>
      </c>
      <c r="AL8" s="58">
        <f>AK8*(1-Premissas!$C$14)+AL6-AL7</f>
        <v/>
      </c>
      <c r="AM8" s="58">
        <f>AL8*(1-Premissas!$C$14)+AM6-AM7</f>
        <v/>
      </c>
      <c r="AN8" s="58">
        <f>AM8*(1-Premissas!$C$14)+AN6-AN7</f>
        <v/>
      </c>
      <c r="AO8" s="58">
        <f>AN8*(1-Premissas!$C$14)+AO6-AO7</f>
        <v/>
      </c>
      <c r="AP8" s="58">
        <f>AO8*(1-Premissas!$C$14)+AP6-AP7</f>
        <v/>
      </c>
      <c r="AQ8" s="58">
        <f>AP8*(1-Premissas!$C$14)+AQ6-AQ7</f>
        <v/>
      </c>
      <c r="AR8" s="58">
        <f>AQ8*(1-Premissas!$C$14)+AR6-AR7</f>
        <v/>
      </c>
      <c r="AS8" s="58">
        <f>AR8*(1-Premissas!$C$14)+AS6-AS7</f>
        <v/>
      </c>
      <c r="AT8" s="58">
        <f>AS8*(1-Premissas!$C$14)+AT6-AT7</f>
        <v/>
      </c>
      <c r="AU8" s="58">
        <f>AT8*(1-Premissas!$C$14)+AU6-AU7</f>
        <v/>
      </c>
      <c r="AV8" s="58">
        <f>AU8*(1-Premissas!$C$14)+AV6-AV7</f>
        <v/>
      </c>
      <c r="AW8" s="58">
        <f>AV8*(1-Premissas!$C$14)+AW6-AW7</f>
        <v/>
      </c>
      <c r="AX8" s="58">
        <f>AW8*(1-Premissas!$C$14)+AX6-AX7</f>
        <v/>
      </c>
      <c r="AY8" s="58">
        <f>AX8*(1-Premissas!$C$14)+AY6-AY7</f>
        <v/>
      </c>
      <c r="AZ8" s="58">
        <f>AY8*(1-Premissas!$C$14)+AZ6-AZ7</f>
        <v/>
      </c>
      <c r="BA8" s="58">
        <f>AZ8*(1-Premissas!$C$14)+BA6-BA7</f>
        <v/>
      </c>
      <c r="BB8" s="58">
        <f>BA8*(1-Premissas!$C$14)+BB6-BB7</f>
        <v/>
      </c>
      <c r="BC8" s="58">
        <f>BB8*(1-Premissas!$C$14)+BC6-BC7</f>
        <v/>
      </c>
      <c r="BD8" s="58">
        <f>BC8*(1-Premissas!$C$14)+BD6-BD7</f>
        <v/>
      </c>
      <c r="BE8" s="58">
        <f>BD8*(1-Premissas!$C$14)+BE6-BE7</f>
        <v/>
      </c>
      <c r="BF8" s="58">
        <f>BE8*(1-Premissas!$C$14)+BF6-BF7</f>
        <v/>
      </c>
      <c r="BG8" s="58">
        <f>BF8*(1-Premissas!$C$14)+BG6-BG7</f>
        <v/>
      </c>
      <c r="BH8" s="58">
        <f>BG8*(1-Premissas!$C$14)+BH6-BH7</f>
        <v/>
      </c>
      <c r="BI8" s="58">
        <f>BH8*(1-Premissas!$C$14)+BI6-BI7</f>
        <v/>
      </c>
      <c r="BJ8" s="58">
        <f>BI8*(1-Premissas!$C$14)+BJ6-BJ7</f>
        <v/>
      </c>
      <c r="BK8" s="58">
        <f>BJ8*(1-Premissas!$C$14)+BK6-BK7</f>
        <v/>
      </c>
    </row>
    <row r="9" ht="15" customHeight="1" s="35">
      <c r="A9" s="43" t="inlineStr">
        <is>
          <t>Novos pagantes Node: Pro no mês (qtd)</t>
        </is>
      </c>
      <c r="B9" s="53" t="inlineStr">
        <is>
          <t>qtd</t>
        </is>
      </c>
      <c r="C9" s="58" t="n">
        <v>0</v>
      </c>
      <c r="D9" s="58">
        <f>D7*Premissas!$C$13</f>
        <v/>
      </c>
      <c r="E9" s="58">
        <f>E7*Premissas!$C$13</f>
        <v/>
      </c>
      <c r="F9" s="58">
        <f>F7*Premissas!$C$13</f>
        <v/>
      </c>
      <c r="G9" s="58">
        <f>G7*Premissas!$C$13</f>
        <v/>
      </c>
      <c r="H9" s="58">
        <f>H7*Premissas!$C$13</f>
        <v/>
      </c>
      <c r="I9" s="58">
        <f>I7*Premissas!$C$13</f>
        <v/>
      </c>
      <c r="J9" s="58">
        <f>J7*Premissas!$C$13</f>
        <v/>
      </c>
      <c r="K9" s="58">
        <f>K7*Premissas!$C$13</f>
        <v/>
      </c>
      <c r="L9" s="58">
        <f>L7*Premissas!$C$13</f>
        <v/>
      </c>
      <c r="M9" s="58">
        <f>M7*Premissas!$C$13</f>
        <v/>
      </c>
      <c r="N9" s="58">
        <f>N7*Premissas!$C$13</f>
        <v/>
      </c>
      <c r="O9" s="58">
        <f>O7*Premissas!$C$13</f>
        <v/>
      </c>
      <c r="P9" s="58">
        <f>P7*Premissas!$C$13</f>
        <v/>
      </c>
      <c r="Q9" s="58">
        <f>Q7*Premissas!$C$13</f>
        <v/>
      </c>
      <c r="R9" s="58">
        <f>R7*Premissas!$C$13</f>
        <v/>
      </c>
      <c r="S9" s="58">
        <f>S7*Premissas!$C$13</f>
        <v/>
      </c>
      <c r="T9" s="58">
        <f>T7*Premissas!$C$13</f>
        <v/>
      </c>
      <c r="U9" s="58">
        <f>U7*Premissas!$C$13</f>
        <v/>
      </c>
      <c r="V9" s="58">
        <f>V7*Premissas!$C$13</f>
        <v/>
      </c>
      <c r="W9" s="58">
        <f>W7*Premissas!$C$13</f>
        <v/>
      </c>
      <c r="X9" s="58">
        <f>X7*Premissas!$C$13</f>
        <v/>
      </c>
      <c r="Y9" s="58">
        <f>Y7*Premissas!$C$13</f>
        <v/>
      </c>
      <c r="Z9" s="58">
        <f>Z7*Premissas!$C$13</f>
        <v/>
      </c>
      <c r="AA9" s="58">
        <f>AA7*Premissas!$C$13</f>
        <v/>
      </c>
      <c r="AB9" s="58">
        <f>AB7*Premissas!$C$13</f>
        <v/>
      </c>
      <c r="AC9" s="58">
        <f>AC7*Premissas!$C$13</f>
        <v/>
      </c>
      <c r="AD9" s="58">
        <f>AD7*Premissas!$C$13</f>
        <v/>
      </c>
      <c r="AE9" s="58">
        <f>AE7*Premissas!$C$13</f>
        <v/>
      </c>
      <c r="AF9" s="58">
        <f>AF7*Premissas!$C$13</f>
        <v/>
      </c>
      <c r="AG9" s="58">
        <f>AG7*Premissas!$C$13</f>
        <v/>
      </c>
      <c r="AH9" s="58">
        <f>AH7*Premissas!$C$13</f>
        <v/>
      </c>
      <c r="AI9" s="58">
        <f>AI7*Premissas!$C$13</f>
        <v/>
      </c>
      <c r="AJ9" s="58">
        <f>AJ7*Premissas!$C$13</f>
        <v/>
      </c>
      <c r="AK9" s="58">
        <f>AK7*Premissas!$C$13</f>
        <v/>
      </c>
      <c r="AL9" s="58">
        <f>AL7*Premissas!$C$13</f>
        <v/>
      </c>
      <c r="AM9" s="58">
        <f>AM7*Premissas!$C$13</f>
        <v/>
      </c>
      <c r="AN9" s="58">
        <f>AN7*Premissas!$C$13</f>
        <v/>
      </c>
      <c r="AO9" s="58">
        <f>AO7*Premissas!$C$13</f>
        <v/>
      </c>
      <c r="AP9" s="58">
        <f>AP7*Premissas!$C$13</f>
        <v/>
      </c>
      <c r="AQ9" s="58">
        <f>AQ7*Premissas!$C$13</f>
        <v/>
      </c>
      <c r="AR9" s="58">
        <f>AR7*Premissas!$C$13</f>
        <v/>
      </c>
      <c r="AS9" s="58">
        <f>AS7*Premissas!$C$13</f>
        <v/>
      </c>
      <c r="AT9" s="58">
        <f>AT7*Premissas!$C$13</f>
        <v/>
      </c>
      <c r="AU9" s="58">
        <f>AU7*Premissas!$C$13</f>
        <v/>
      </c>
      <c r="AV9" s="58">
        <f>AV7*Premissas!$C$13</f>
        <v/>
      </c>
      <c r="AW9" s="58">
        <f>AW7*Premissas!$C$13</f>
        <v/>
      </c>
      <c r="AX9" s="58">
        <f>AX7*Premissas!$C$13</f>
        <v/>
      </c>
      <c r="AY9" s="58">
        <f>AY7*Premissas!$C$13</f>
        <v/>
      </c>
      <c r="AZ9" s="58">
        <f>AZ7*Premissas!$C$13</f>
        <v/>
      </c>
      <c r="BA9" s="58">
        <f>BA7*Premissas!$C$13</f>
        <v/>
      </c>
      <c r="BB9" s="58">
        <f>BB7*Premissas!$C$13</f>
        <v/>
      </c>
      <c r="BC9" s="58">
        <f>BC7*Premissas!$C$13</f>
        <v/>
      </c>
      <c r="BD9" s="58">
        <f>BD7*Premissas!$C$13</f>
        <v/>
      </c>
      <c r="BE9" s="58">
        <f>BE7*Premissas!$C$13</f>
        <v/>
      </c>
      <c r="BF9" s="58">
        <f>BF7*Premissas!$C$13</f>
        <v/>
      </c>
      <c r="BG9" s="58">
        <f>BG7*Premissas!$C$13</f>
        <v/>
      </c>
      <c r="BH9" s="58">
        <f>BH7*Premissas!$C$13</f>
        <v/>
      </c>
      <c r="BI9" s="58">
        <f>BI7*Premissas!$C$13</f>
        <v/>
      </c>
      <c r="BJ9" s="58">
        <f>BJ7*Premissas!$C$13</f>
        <v/>
      </c>
      <c r="BK9" s="58">
        <f>BK7*Premissas!$C$13</f>
        <v/>
      </c>
    </row>
    <row r="10" ht="15" customHeight="1" s="35">
      <c r="A10" s="43" t="inlineStr">
        <is>
          <t>Novos pagantes Node: Institutional no mês (qtd)</t>
        </is>
      </c>
      <c r="B10" s="53" t="inlineStr">
        <is>
          <t>qtd</t>
        </is>
      </c>
      <c r="C10" s="58" t="n">
        <v>0</v>
      </c>
      <c r="D10" s="58">
        <f>D7*(1-Premissas!$C$13)</f>
        <v/>
      </c>
      <c r="E10" s="58">
        <f>E7*(1-Premissas!$C$13)</f>
        <v/>
      </c>
      <c r="F10" s="58">
        <f>F7*(1-Premissas!$C$13)</f>
        <v/>
      </c>
      <c r="G10" s="58">
        <f>G7*(1-Premissas!$C$13)</f>
        <v/>
      </c>
      <c r="H10" s="58">
        <f>H7*(1-Premissas!$C$13)</f>
        <v/>
      </c>
      <c r="I10" s="58">
        <f>I7*(1-Premissas!$C$13)</f>
        <v/>
      </c>
      <c r="J10" s="58">
        <f>J7*(1-Premissas!$C$13)</f>
        <v/>
      </c>
      <c r="K10" s="58">
        <f>K7*(1-Premissas!$C$13)</f>
        <v/>
      </c>
      <c r="L10" s="58">
        <f>L7*(1-Premissas!$C$13)</f>
        <v/>
      </c>
      <c r="M10" s="58">
        <f>M7*(1-Premissas!$C$13)</f>
        <v/>
      </c>
      <c r="N10" s="58">
        <f>N7*(1-Premissas!$C$13)</f>
        <v/>
      </c>
      <c r="O10" s="58">
        <f>O7*(1-Premissas!$C$13)</f>
        <v/>
      </c>
      <c r="P10" s="58">
        <f>P7*(1-Premissas!$C$13)</f>
        <v/>
      </c>
      <c r="Q10" s="58">
        <f>Q7*(1-Premissas!$C$13)</f>
        <v/>
      </c>
      <c r="R10" s="58">
        <f>R7*(1-Premissas!$C$13)</f>
        <v/>
      </c>
      <c r="S10" s="58">
        <f>S7*(1-Premissas!$C$13)</f>
        <v/>
      </c>
      <c r="T10" s="58">
        <f>T7*(1-Premissas!$C$13)</f>
        <v/>
      </c>
      <c r="U10" s="58">
        <f>U7*(1-Premissas!$C$13)</f>
        <v/>
      </c>
      <c r="V10" s="58">
        <f>V7*(1-Premissas!$C$13)</f>
        <v/>
      </c>
      <c r="W10" s="58">
        <f>W7*(1-Premissas!$C$13)</f>
        <v/>
      </c>
      <c r="X10" s="58">
        <f>X7*(1-Premissas!$C$13)</f>
        <v/>
      </c>
      <c r="Y10" s="58">
        <f>Y7*(1-Premissas!$C$13)</f>
        <v/>
      </c>
      <c r="Z10" s="58">
        <f>Z7*(1-Premissas!$C$13)</f>
        <v/>
      </c>
      <c r="AA10" s="58">
        <f>AA7*(1-Premissas!$C$13)</f>
        <v/>
      </c>
      <c r="AB10" s="58">
        <f>AB7*(1-Premissas!$C$13)</f>
        <v/>
      </c>
      <c r="AC10" s="58">
        <f>AC7*(1-Premissas!$C$13)</f>
        <v/>
      </c>
      <c r="AD10" s="58">
        <f>AD7*(1-Premissas!$C$13)</f>
        <v/>
      </c>
      <c r="AE10" s="58">
        <f>AE7*(1-Premissas!$C$13)</f>
        <v/>
      </c>
      <c r="AF10" s="58">
        <f>AF7*(1-Premissas!$C$13)</f>
        <v/>
      </c>
      <c r="AG10" s="58">
        <f>AG7*(1-Premissas!$C$13)</f>
        <v/>
      </c>
      <c r="AH10" s="58">
        <f>AH7*(1-Premissas!$C$13)</f>
        <v/>
      </c>
      <c r="AI10" s="58">
        <f>AI7*(1-Premissas!$C$13)</f>
        <v/>
      </c>
      <c r="AJ10" s="58">
        <f>AJ7*(1-Premissas!$C$13)</f>
        <v/>
      </c>
      <c r="AK10" s="58">
        <f>AK7*(1-Premissas!$C$13)</f>
        <v/>
      </c>
      <c r="AL10" s="58">
        <f>AL7*(1-Premissas!$C$13)</f>
        <v/>
      </c>
      <c r="AM10" s="58">
        <f>AM7*(1-Premissas!$C$13)</f>
        <v/>
      </c>
      <c r="AN10" s="58">
        <f>AN7*(1-Premissas!$C$13)</f>
        <v/>
      </c>
      <c r="AO10" s="58">
        <f>AO7*(1-Premissas!$C$13)</f>
        <v/>
      </c>
      <c r="AP10" s="58">
        <f>AP7*(1-Premissas!$C$13)</f>
        <v/>
      </c>
      <c r="AQ10" s="58">
        <f>AQ7*(1-Premissas!$C$13)</f>
        <v/>
      </c>
      <c r="AR10" s="58">
        <f>AR7*(1-Premissas!$C$13)</f>
        <v/>
      </c>
      <c r="AS10" s="58">
        <f>AS7*(1-Premissas!$C$13)</f>
        <v/>
      </c>
      <c r="AT10" s="58">
        <f>AT7*(1-Premissas!$C$13)</f>
        <v/>
      </c>
      <c r="AU10" s="58">
        <f>AU7*(1-Premissas!$C$13)</f>
        <v/>
      </c>
      <c r="AV10" s="58">
        <f>AV7*(1-Premissas!$C$13)</f>
        <v/>
      </c>
      <c r="AW10" s="58">
        <f>AW7*(1-Premissas!$C$13)</f>
        <v/>
      </c>
      <c r="AX10" s="58">
        <f>AX7*(1-Premissas!$C$13)</f>
        <v/>
      </c>
      <c r="AY10" s="58">
        <f>AY7*(1-Premissas!$C$13)</f>
        <v/>
      </c>
      <c r="AZ10" s="58">
        <f>AZ7*(1-Premissas!$C$13)</f>
        <v/>
      </c>
      <c r="BA10" s="58">
        <f>BA7*(1-Premissas!$C$13)</f>
        <v/>
      </c>
      <c r="BB10" s="58">
        <f>BB7*(1-Premissas!$C$13)</f>
        <v/>
      </c>
      <c r="BC10" s="58">
        <f>BC7*(1-Premissas!$C$13)</f>
        <v/>
      </c>
      <c r="BD10" s="58">
        <f>BD7*(1-Premissas!$C$13)</f>
        <v/>
      </c>
      <c r="BE10" s="58">
        <f>BE7*(1-Premissas!$C$13)</f>
        <v/>
      </c>
      <c r="BF10" s="58">
        <f>BF7*(1-Premissas!$C$13)</f>
        <v/>
      </c>
      <c r="BG10" s="58">
        <f>BG7*(1-Premissas!$C$13)</f>
        <v/>
      </c>
      <c r="BH10" s="58">
        <f>BH7*(1-Premissas!$C$13)</f>
        <v/>
      </c>
      <c r="BI10" s="58">
        <f>BI7*(1-Premissas!$C$13)</f>
        <v/>
      </c>
      <c r="BJ10" s="58">
        <f>BJ7*(1-Premissas!$C$13)</f>
        <v/>
      </c>
      <c r="BK10" s="58">
        <f>BK7*(1-Premissas!$C$13)</f>
        <v/>
      </c>
    </row>
    <row r="11" ht="15" customHeight="1" s="35">
      <c r="A11" s="43" t="inlineStr">
        <is>
          <t>Node: Pro ativos (qtd)</t>
        </is>
      </c>
      <c r="B11" s="53" t="inlineStr">
        <is>
          <t>qtd</t>
        </is>
      </c>
      <c r="C11" s="58" t="n">
        <v>0</v>
      </c>
      <c r="D11" s="58">
        <f>C11*(1-Premissas!$C$15)+D9</f>
        <v/>
      </c>
      <c r="E11" s="58">
        <f>D11*(1-Premissas!$C$15)+E9</f>
        <v/>
      </c>
      <c r="F11" s="58">
        <f>E11*(1-Premissas!$C$15)+F9</f>
        <v/>
      </c>
      <c r="G11" s="58">
        <f>F11*(1-Premissas!$C$15)+G9</f>
        <v/>
      </c>
      <c r="H11" s="58">
        <f>G11*(1-Premissas!$C$15)+H9</f>
        <v/>
      </c>
      <c r="I11" s="58">
        <f>H11*(1-Premissas!$C$15)+I9</f>
        <v/>
      </c>
      <c r="J11" s="58">
        <f>I11*(1-Premissas!$C$15)+J9</f>
        <v/>
      </c>
      <c r="K11" s="58">
        <f>J11*(1-Premissas!$C$15)+K9</f>
        <v/>
      </c>
      <c r="L11" s="58">
        <f>K11*(1-Premissas!$C$15)+L9</f>
        <v/>
      </c>
      <c r="M11" s="58">
        <f>L11*(1-Premissas!$C$15)+M9</f>
        <v/>
      </c>
      <c r="N11" s="58">
        <f>M11*(1-Premissas!$C$15)+N9</f>
        <v/>
      </c>
      <c r="O11" s="58">
        <f>N11*(1-Premissas!$C$15)+O9</f>
        <v/>
      </c>
      <c r="P11" s="58">
        <f>O11*(1-Premissas!$C$15)+P9</f>
        <v/>
      </c>
      <c r="Q11" s="58">
        <f>P11*(1-Premissas!$C$15)+Q9</f>
        <v/>
      </c>
      <c r="R11" s="58">
        <f>Q11*(1-Premissas!$C$15)+R9</f>
        <v/>
      </c>
      <c r="S11" s="58">
        <f>R11*(1-Premissas!$C$15)+S9</f>
        <v/>
      </c>
      <c r="T11" s="58">
        <f>S11*(1-Premissas!$C$15)+T9</f>
        <v/>
      </c>
      <c r="U11" s="58">
        <f>T11*(1-Premissas!$C$15)+U9</f>
        <v/>
      </c>
      <c r="V11" s="58">
        <f>U11*(1-Premissas!$C$15)+V9</f>
        <v/>
      </c>
      <c r="W11" s="58">
        <f>V11*(1-Premissas!$C$15)+W9</f>
        <v/>
      </c>
      <c r="X11" s="58">
        <f>W11*(1-Premissas!$C$15)+X9</f>
        <v/>
      </c>
      <c r="Y11" s="58">
        <f>X11*(1-Premissas!$C$15)+Y9</f>
        <v/>
      </c>
      <c r="Z11" s="58">
        <f>Y11*(1-Premissas!$C$15)+Z9</f>
        <v/>
      </c>
      <c r="AA11" s="58">
        <f>Z11*(1-Premissas!$C$15)+AA9</f>
        <v/>
      </c>
      <c r="AB11" s="58">
        <f>AA11*(1-Premissas!$C$15)+AB9</f>
        <v/>
      </c>
      <c r="AC11" s="58">
        <f>AB11*(1-Premissas!$C$15)+AC9</f>
        <v/>
      </c>
      <c r="AD11" s="58">
        <f>AC11*(1-Premissas!$C$15)+AD9</f>
        <v/>
      </c>
      <c r="AE11" s="58">
        <f>AD11*(1-Premissas!$C$15)+AE9</f>
        <v/>
      </c>
      <c r="AF11" s="58">
        <f>AE11*(1-Premissas!$C$15)+AF9</f>
        <v/>
      </c>
      <c r="AG11" s="58">
        <f>AF11*(1-Premissas!$C$15)+AG9</f>
        <v/>
      </c>
      <c r="AH11" s="58">
        <f>AG11*(1-Premissas!$C$15)+AH9</f>
        <v/>
      </c>
      <c r="AI11" s="58">
        <f>AH11*(1-Premissas!$C$15)+AI9</f>
        <v/>
      </c>
      <c r="AJ11" s="58">
        <f>AI11*(1-Premissas!$C$15)+AJ9</f>
        <v/>
      </c>
      <c r="AK11" s="58">
        <f>AJ11*(1-Premissas!$C$15)+AK9</f>
        <v/>
      </c>
      <c r="AL11" s="58">
        <f>AK11*(1-Premissas!$C$15)+AL9</f>
        <v/>
      </c>
      <c r="AM11" s="58">
        <f>AL11*(1-Premissas!$C$15)+AM9</f>
        <v/>
      </c>
      <c r="AN11" s="58">
        <f>AM11*(1-Premissas!$C$15)+AN9</f>
        <v/>
      </c>
      <c r="AO11" s="58">
        <f>AN11*(1-Premissas!$C$15)+AO9</f>
        <v/>
      </c>
      <c r="AP11" s="58">
        <f>AO11*(1-Premissas!$C$15)+AP9</f>
        <v/>
      </c>
      <c r="AQ11" s="58">
        <f>AP11*(1-Premissas!$C$15)+AQ9</f>
        <v/>
      </c>
      <c r="AR11" s="58">
        <f>AQ11*(1-Premissas!$C$15)+AR9</f>
        <v/>
      </c>
      <c r="AS11" s="58">
        <f>AR11*(1-Premissas!$C$15)+AS9</f>
        <v/>
      </c>
      <c r="AT11" s="58">
        <f>AS11*(1-Premissas!$C$15)+AT9</f>
        <v/>
      </c>
      <c r="AU11" s="58">
        <f>AT11*(1-Premissas!$C$15)+AU9</f>
        <v/>
      </c>
      <c r="AV11" s="58">
        <f>AU11*(1-Premissas!$C$15)+AV9</f>
        <v/>
      </c>
      <c r="AW11" s="58">
        <f>AV11*(1-Premissas!$C$15)+AW9</f>
        <v/>
      </c>
      <c r="AX11" s="58">
        <f>AW11*(1-Premissas!$C$15)+AX9</f>
        <v/>
      </c>
      <c r="AY11" s="58">
        <f>AX11*(1-Premissas!$C$15)+AY9</f>
        <v/>
      </c>
      <c r="AZ11" s="58">
        <f>AY11*(1-Premissas!$C$15)+AZ9</f>
        <v/>
      </c>
      <c r="BA11" s="58">
        <f>AZ11*(1-Premissas!$C$15)+BA9</f>
        <v/>
      </c>
      <c r="BB11" s="58">
        <f>BA11*(1-Premissas!$C$15)+BB9</f>
        <v/>
      </c>
      <c r="BC11" s="58">
        <f>BB11*(1-Premissas!$C$15)+BC9</f>
        <v/>
      </c>
      <c r="BD11" s="58">
        <f>BC11*(1-Premissas!$C$15)+BD9</f>
        <v/>
      </c>
      <c r="BE11" s="58">
        <f>BD11*(1-Premissas!$C$15)+BE9</f>
        <v/>
      </c>
      <c r="BF11" s="58">
        <f>BE11*(1-Premissas!$C$15)+BF9</f>
        <v/>
      </c>
      <c r="BG11" s="58">
        <f>BF11*(1-Premissas!$C$15)+BG9</f>
        <v/>
      </c>
      <c r="BH11" s="58">
        <f>BG11*(1-Premissas!$C$15)+BH9</f>
        <v/>
      </c>
      <c r="BI11" s="58">
        <f>BH11*(1-Premissas!$C$15)+BI9</f>
        <v/>
      </c>
      <c r="BJ11" s="58">
        <f>BI11*(1-Premissas!$C$15)+BJ9</f>
        <v/>
      </c>
      <c r="BK11" s="58">
        <f>BJ11*(1-Premissas!$C$15)+BK9</f>
        <v/>
      </c>
    </row>
    <row r="12" ht="15" customHeight="1" s="35">
      <c r="A12" s="43" t="inlineStr">
        <is>
          <t>Node: Institutional ativos (qtd)</t>
        </is>
      </c>
      <c r="B12" s="53" t="inlineStr">
        <is>
          <t>qtd</t>
        </is>
      </c>
      <c r="C12" s="58" t="n">
        <v>0</v>
      </c>
      <c r="D12" s="58">
        <f>C12*(1-Premissas!$C$15)+D10</f>
        <v/>
      </c>
      <c r="E12" s="58">
        <f>D12*(1-Premissas!$C$15)+E10</f>
        <v/>
      </c>
      <c r="F12" s="58">
        <f>E12*(1-Premissas!$C$15)+F10</f>
        <v/>
      </c>
      <c r="G12" s="58">
        <f>F12*(1-Premissas!$C$15)+G10</f>
        <v/>
      </c>
      <c r="H12" s="58">
        <f>G12*(1-Premissas!$C$15)+H10</f>
        <v/>
      </c>
      <c r="I12" s="58">
        <f>H12*(1-Premissas!$C$15)+I10</f>
        <v/>
      </c>
      <c r="J12" s="58">
        <f>I12*(1-Premissas!$C$15)+J10</f>
        <v/>
      </c>
      <c r="K12" s="58">
        <f>J12*(1-Premissas!$C$15)+K10</f>
        <v/>
      </c>
      <c r="L12" s="58">
        <f>K12*(1-Premissas!$C$15)+L10</f>
        <v/>
      </c>
      <c r="M12" s="58">
        <f>L12*(1-Premissas!$C$15)+M10</f>
        <v/>
      </c>
      <c r="N12" s="58">
        <f>M12*(1-Premissas!$C$15)+N10</f>
        <v/>
      </c>
      <c r="O12" s="58">
        <f>N12*(1-Premissas!$C$15)+O10</f>
        <v/>
      </c>
      <c r="P12" s="58">
        <f>O12*(1-Premissas!$C$15)+P10</f>
        <v/>
      </c>
      <c r="Q12" s="58">
        <f>P12*(1-Premissas!$C$15)+Q10</f>
        <v/>
      </c>
      <c r="R12" s="58">
        <f>Q12*(1-Premissas!$C$15)+R10</f>
        <v/>
      </c>
      <c r="S12" s="58">
        <f>R12*(1-Premissas!$C$15)+S10</f>
        <v/>
      </c>
      <c r="T12" s="58">
        <f>S12*(1-Premissas!$C$15)+T10</f>
        <v/>
      </c>
      <c r="U12" s="58">
        <f>T12*(1-Premissas!$C$15)+U10</f>
        <v/>
      </c>
      <c r="V12" s="58">
        <f>U12*(1-Premissas!$C$15)+V10</f>
        <v/>
      </c>
      <c r="W12" s="58">
        <f>V12*(1-Premissas!$C$15)+W10</f>
        <v/>
      </c>
      <c r="X12" s="58">
        <f>W12*(1-Premissas!$C$15)+X10</f>
        <v/>
      </c>
      <c r="Y12" s="58">
        <f>X12*(1-Premissas!$C$15)+Y10</f>
        <v/>
      </c>
      <c r="Z12" s="58">
        <f>Y12*(1-Premissas!$C$15)+Z10</f>
        <v/>
      </c>
      <c r="AA12" s="58">
        <f>Z12*(1-Premissas!$C$15)+AA10</f>
        <v/>
      </c>
      <c r="AB12" s="58">
        <f>AA12*(1-Premissas!$C$15)+AB10</f>
        <v/>
      </c>
      <c r="AC12" s="58">
        <f>AB12*(1-Premissas!$C$15)+AC10</f>
        <v/>
      </c>
      <c r="AD12" s="58">
        <f>AC12*(1-Premissas!$C$15)+AD10</f>
        <v/>
      </c>
      <c r="AE12" s="58">
        <f>AD12*(1-Premissas!$C$15)+AE10</f>
        <v/>
      </c>
      <c r="AF12" s="58">
        <f>AE12*(1-Premissas!$C$15)+AF10</f>
        <v/>
      </c>
      <c r="AG12" s="58">
        <f>AF12*(1-Premissas!$C$15)+AG10</f>
        <v/>
      </c>
      <c r="AH12" s="58">
        <f>AG12*(1-Premissas!$C$15)+AH10</f>
        <v/>
      </c>
      <c r="AI12" s="58">
        <f>AH12*(1-Premissas!$C$15)+AI10</f>
        <v/>
      </c>
      <c r="AJ12" s="58">
        <f>AI12*(1-Premissas!$C$15)+AJ10</f>
        <v/>
      </c>
      <c r="AK12" s="58">
        <f>AJ12*(1-Premissas!$C$15)+AK10</f>
        <v/>
      </c>
      <c r="AL12" s="58">
        <f>AK12*(1-Premissas!$C$15)+AL10</f>
        <v/>
      </c>
      <c r="AM12" s="58">
        <f>AL12*(1-Premissas!$C$15)+AM10</f>
        <v/>
      </c>
      <c r="AN12" s="58">
        <f>AM12*(1-Premissas!$C$15)+AN10</f>
        <v/>
      </c>
      <c r="AO12" s="58">
        <f>AN12*(1-Premissas!$C$15)+AO10</f>
        <v/>
      </c>
      <c r="AP12" s="58">
        <f>AO12*(1-Premissas!$C$15)+AP10</f>
        <v/>
      </c>
      <c r="AQ12" s="58">
        <f>AP12*(1-Premissas!$C$15)+AQ10</f>
        <v/>
      </c>
      <c r="AR12" s="58">
        <f>AQ12*(1-Premissas!$C$15)+AR10</f>
        <v/>
      </c>
      <c r="AS12" s="58">
        <f>AR12*(1-Premissas!$C$15)+AS10</f>
        <v/>
      </c>
      <c r="AT12" s="58">
        <f>AS12*(1-Premissas!$C$15)+AT10</f>
        <v/>
      </c>
      <c r="AU12" s="58">
        <f>AT12*(1-Premissas!$C$15)+AU10</f>
        <v/>
      </c>
      <c r="AV12" s="58">
        <f>AU12*(1-Premissas!$C$15)+AV10</f>
        <v/>
      </c>
      <c r="AW12" s="58">
        <f>AV12*(1-Premissas!$C$15)+AW10</f>
        <v/>
      </c>
      <c r="AX12" s="58">
        <f>AW12*(1-Premissas!$C$15)+AX10</f>
        <v/>
      </c>
      <c r="AY12" s="58">
        <f>AX12*(1-Premissas!$C$15)+AY10</f>
        <v/>
      </c>
      <c r="AZ12" s="58">
        <f>AY12*(1-Premissas!$C$15)+AZ10</f>
        <v/>
      </c>
      <c r="BA12" s="58">
        <f>AZ12*(1-Premissas!$C$15)+BA10</f>
        <v/>
      </c>
      <c r="BB12" s="58">
        <f>BA12*(1-Premissas!$C$15)+BB10</f>
        <v/>
      </c>
      <c r="BC12" s="58">
        <f>BB12*(1-Premissas!$C$15)+BC10</f>
        <v/>
      </c>
      <c r="BD12" s="58">
        <f>BC12*(1-Premissas!$C$15)+BD10</f>
        <v/>
      </c>
      <c r="BE12" s="58">
        <f>BD12*(1-Premissas!$C$15)+BE10</f>
        <v/>
      </c>
      <c r="BF12" s="58">
        <f>BE12*(1-Premissas!$C$15)+BF10</f>
        <v/>
      </c>
      <c r="BG12" s="58">
        <f>BF12*(1-Premissas!$C$15)+BG10</f>
        <v/>
      </c>
      <c r="BH12" s="58">
        <f>BG12*(1-Premissas!$C$15)+BH10</f>
        <v/>
      </c>
      <c r="BI12" s="58">
        <f>BH12*(1-Premissas!$C$15)+BI10</f>
        <v/>
      </c>
      <c r="BJ12" s="58">
        <f>BI12*(1-Premissas!$C$15)+BJ10</f>
        <v/>
      </c>
      <c r="BK12" s="58">
        <f>BJ12*(1-Premissas!$C$15)+BK10</f>
        <v/>
      </c>
    </row>
    <row r="13" ht="15" customHeight="1" s="35">
      <c r="A13" s="47" t="inlineStr">
        <is>
          <t>Total pagantes ativos — Pro + Institutional (qtd)</t>
        </is>
      </c>
      <c r="B13" s="53" t="inlineStr">
        <is>
          <t>qtd</t>
        </is>
      </c>
      <c r="C13" s="59" t="n">
        <v>0</v>
      </c>
      <c r="D13" s="59">
        <f>D11+D12</f>
        <v/>
      </c>
      <c r="E13" s="59">
        <f>E11+E12</f>
        <v/>
      </c>
      <c r="F13" s="59">
        <f>F11+F12</f>
        <v/>
      </c>
      <c r="G13" s="59">
        <f>G11+G12</f>
        <v/>
      </c>
      <c r="H13" s="59">
        <f>H11+H12</f>
        <v/>
      </c>
      <c r="I13" s="59">
        <f>I11+I12</f>
        <v/>
      </c>
      <c r="J13" s="59">
        <f>J11+J12</f>
        <v/>
      </c>
      <c r="K13" s="59">
        <f>K11+K12</f>
        <v/>
      </c>
      <c r="L13" s="59">
        <f>L11+L12</f>
        <v/>
      </c>
      <c r="M13" s="59">
        <f>M11+M12</f>
        <v/>
      </c>
      <c r="N13" s="59">
        <f>N11+N12</f>
        <v/>
      </c>
      <c r="O13" s="59">
        <f>O11+O12</f>
        <v/>
      </c>
      <c r="P13" s="59">
        <f>P11+P12</f>
        <v/>
      </c>
      <c r="Q13" s="59">
        <f>Q11+Q12</f>
        <v/>
      </c>
      <c r="R13" s="59">
        <f>R11+R12</f>
        <v/>
      </c>
      <c r="S13" s="59">
        <f>S11+S12</f>
        <v/>
      </c>
      <c r="T13" s="59">
        <f>T11+T12</f>
        <v/>
      </c>
      <c r="U13" s="59">
        <f>U11+U12</f>
        <v/>
      </c>
      <c r="V13" s="59">
        <f>V11+V12</f>
        <v/>
      </c>
      <c r="W13" s="59">
        <f>W11+W12</f>
        <v/>
      </c>
      <c r="X13" s="59">
        <f>X11+X12</f>
        <v/>
      </c>
      <c r="Y13" s="59">
        <f>Y11+Y12</f>
        <v/>
      </c>
      <c r="Z13" s="59">
        <f>Z11+Z12</f>
        <v/>
      </c>
      <c r="AA13" s="59">
        <f>AA11+AA12</f>
        <v/>
      </c>
      <c r="AB13" s="59">
        <f>AB11+AB12</f>
        <v/>
      </c>
      <c r="AC13" s="59">
        <f>AC11+AC12</f>
        <v/>
      </c>
      <c r="AD13" s="59">
        <f>AD11+AD12</f>
        <v/>
      </c>
      <c r="AE13" s="59">
        <f>AE11+AE12</f>
        <v/>
      </c>
      <c r="AF13" s="59">
        <f>AF11+AF12</f>
        <v/>
      </c>
      <c r="AG13" s="59">
        <f>AG11+AG12</f>
        <v/>
      </c>
      <c r="AH13" s="59">
        <f>AH11+AH12</f>
        <v/>
      </c>
      <c r="AI13" s="59">
        <f>AI11+AI12</f>
        <v/>
      </c>
      <c r="AJ13" s="59">
        <f>AJ11+AJ12</f>
        <v/>
      </c>
      <c r="AK13" s="59">
        <f>AK11+AK12</f>
        <v/>
      </c>
      <c r="AL13" s="59">
        <f>AL11+AL12</f>
        <v/>
      </c>
      <c r="AM13" s="59">
        <f>AM11+AM12</f>
        <v/>
      </c>
      <c r="AN13" s="59">
        <f>AN11+AN12</f>
        <v/>
      </c>
      <c r="AO13" s="59">
        <f>AO11+AO12</f>
        <v/>
      </c>
      <c r="AP13" s="59">
        <f>AP11+AP12</f>
        <v/>
      </c>
      <c r="AQ13" s="59">
        <f>AQ11+AQ12</f>
        <v/>
      </c>
      <c r="AR13" s="59">
        <f>AR11+AR12</f>
        <v/>
      </c>
      <c r="AS13" s="59">
        <f>AS11+AS12</f>
        <v/>
      </c>
      <c r="AT13" s="59">
        <f>AT11+AT12</f>
        <v/>
      </c>
      <c r="AU13" s="59">
        <f>AU11+AU12</f>
        <v/>
      </c>
      <c r="AV13" s="59">
        <f>AV11+AV12</f>
        <v/>
      </c>
      <c r="AW13" s="59">
        <f>AW11+AW12</f>
        <v/>
      </c>
      <c r="AX13" s="59">
        <f>AX11+AX12</f>
        <v/>
      </c>
      <c r="AY13" s="59">
        <f>AY11+AY12</f>
        <v/>
      </c>
      <c r="AZ13" s="59">
        <f>AZ11+AZ12</f>
        <v/>
      </c>
      <c r="BA13" s="59">
        <f>BA11+BA12</f>
        <v/>
      </c>
      <c r="BB13" s="59">
        <f>BB11+BB12</f>
        <v/>
      </c>
      <c r="BC13" s="59">
        <f>BC11+BC12</f>
        <v/>
      </c>
      <c r="BD13" s="59">
        <f>BD11+BD12</f>
        <v/>
      </c>
      <c r="BE13" s="59">
        <f>BE11+BE12</f>
        <v/>
      </c>
      <c r="BF13" s="59">
        <f>BF11+BF12</f>
        <v/>
      </c>
      <c r="BG13" s="59">
        <f>BG11+BG12</f>
        <v/>
      </c>
      <c r="BH13" s="59">
        <f>BH11+BH12</f>
        <v/>
      </c>
      <c r="BI13" s="59">
        <f>BI11+BI12</f>
        <v/>
      </c>
      <c r="BJ13" s="59">
        <f>BJ11+BJ12</f>
        <v/>
      </c>
      <c r="BK13" s="59">
        <f>BK11+BK12</f>
        <v/>
      </c>
    </row>
    <row r="14" ht="15" customHeight="1" s="35">
      <c r="A14" s="47" t="inlineStr">
        <is>
          <t>Total usuários ativos — Starter + pagantes (qtd)</t>
        </is>
      </c>
      <c r="B14" s="53" t="inlineStr">
        <is>
          <t>qtd</t>
        </is>
      </c>
      <c r="C14" s="59" t="n">
        <v>0</v>
      </c>
      <c r="D14" s="59">
        <f>D8+D13</f>
        <v/>
      </c>
      <c r="E14" s="59">
        <f>E8+E13</f>
        <v/>
      </c>
      <c r="F14" s="59">
        <f>F8+F13</f>
        <v/>
      </c>
      <c r="G14" s="59">
        <f>G8+G13</f>
        <v/>
      </c>
      <c r="H14" s="59">
        <f>H8+H13</f>
        <v/>
      </c>
      <c r="I14" s="59">
        <f>I8+I13</f>
        <v/>
      </c>
      <c r="J14" s="59">
        <f>J8+J13</f>
        <v/>
      </c>
      <c r="K14" s="59">
        <f>K8+K13</f>
        <v/>
      </c>
      <c r="L14" s="59">
        <f>L8+L13</f>
        <v/>
      </c>
      <c r="M14" s="59">
        <f>M8+M13</f>
        <v/>
      </c>
      <c r="N14" s="59">
        <f>N8+N13</f>
        <v/>
      </c>
      <c r="O14" s="59">
        <f>O8+O13</f>
        <v/>
      </c>
      <c r="P14" s="59">
        <f>P8+P13</f>
        <v/>
      </c>
      <c r="Q14" s="59">
        <f>Q8+Q13</f>
        <v/>
      </c>
      <c r="R14" s="59">
        <f>R8+R13</f>
        <v/>
      </c>
      <c r="S14" s="59">
        <f>S8+S13</f>
        <v/>
      </c>
      <c r="T14" s="59">
        <f>T8+T13</f>
        <v/>
      </c>
      <c r="U14" s="59">
        <f>U8+U13</f>
        <v/>
      </c>
      <c r="V14" s="59">
        <f>V8+V13</f>
        <v/>
      </c>
      <c r="W14" s="59">
        <f>W8+W13</f>
        <v/>
      </c>
      <c r="X14" s="59">
        <f>X8+X13</f>
        <v/>
      </c>
      <c r="Y14" s="59">
        <f>Y8+Y13</f>
        <v/>
      </c>
      <c r="Z14" s="59">
        <f>Z8+Z13</f>
        <v/>
      </c>
      <c r="AA14" s="59">
        <f>AA8+AA13</f>
        <v/>
      </c>
      <c r="AB14" s="59">
        <f>AB8+AB13</f>
        <v/>
      </c>
      <c r="AC14" s="59">
        <f>AC8+AC13</f>
        <v/>
      </c>
      <c r="AD14" s="59">
        <f>AD8+AD13</f>
        <v/>
      </c>
      <c r="AE14" s="59">
        <f>AE8+AE13</f>
        <v/>
      </c>
      <c r="AF14" s="59">
        <f>AF8+AF13</f>
        <v/>
      </c>
      <c r="AG14" s="59">
        <f>AG8+AG13</f>
        <v/>
      </c>
      <c r="AH14" s="59">
        <f>AH8+AH13</f>
        <v/>
      </c>
      <c r="AI14" s="59">
        <f>AI8+AI13</f>
        <v/>
      </c>
      <c r="AJ14" s="59">
        <f>AJ8+AJ13</f>
        <v/>
      </c>
      <c r="AK14" s="59">
        <f>AK8+AK13</f>
        <v/>
      </c>
      <c r="AL14" s="59">
        <f>AL8+AL13</f>
        <v/>
      </c>
      <c r="AM14" s="59">
        <f>AM8+AM13</f>
        <v/>
      </c>
      <c r="AN14" s="59">
        <f>AN8+AN13</f>
        <v/>
      </c>
      <c r="AO14" s="59">
        <f>AO8+AO13</f>
        <v/>
      </c>
      <c r="AP14" s="59">
        <f>AP8+AP13</f>
        <v/>
      </c>
      <c r="AQ14" s="59">
        <f>AQ8+AQ13</f>
        <v/>
      </c>
      <c r="AR14" s="59">
        <f>AR8+AR13</f>
        <v/>
      </c>
      <c r="AS14" s="59">
        <f>AS8+AS13</f>
        <v/>
      </c>
      <c r="AT14" s="59">
        <f>AT8+AT13</f>
        <v/>
      </c>
      <c r="AU14" s="59">
        <f>AU8+AU13</f>
        <v/>
      </c>
      <c r="AV14" s="59">
        <f>AV8+AV13</f>
        <v/>
      </c>
      <c r="AW14" s="59">
        <f>AW8+AW13</f>
        <v/>
      </c>
      <c r="AX14" s="59">
        <f>AX8+AX13</f>
        <v/>
      </c>
      <c r="AY14" s="59">
        <f>AY8+AY13</f>
        <v/>
      </c>
      <c r="AZ14" s="59">
        <f>AZ8+AZ13</f>
        <v/>
      </c>
      <c r="BA14" s="59">
        <f>BA8+BA13</f>
        <v/>
      </c>
      <c r="BB14" s="59">
        <f>BB8+BB13</f>
        <v/>
      </c>
      <c r="BC14" s="59">
        <f>BC8+BC13</f>
        <v/>
      </c>
      <c r="BD14" s="59">
        <f>BD8+BD13</f>
        <v/>
      </c>
      <c r="BE14" s="59">
        <f>BE8+BE13</f>
        <v/>
      </c>
      <c r="BF14" s="59">
        <f>BF8+BF13</f>
        <v/>
      </c>
      <c r="BG14" s="59">
        <f>BG8+BG13</f>
        <v/>
      </c>
      <c r="BH14" s="59">
        <f>BH8+BH13</f>
        <v/>
      </c>
      <c r="BI14" s="59">
        <f>BI8+BI13</f>
        <v/>
      </c>
      <c r="BJ14" s="59">
        <f>BJ8+BJ13</f>
        <v/>
      </c>
      <c r="BK14" s="59">
        <f>BK8+BK13</f>
        <v/>
      </c>
    </row>
    <row r="15">
      <c r="A15" s="34" t="inlineStr">
        <is>
          <t>Carga de GPU equivalente (usuários-mês) — pagantes + degustação Starter</t>
        </is>
      </c>
      <c r="D15" s="34">
        <f>D13+D6*(Premissas!$C$38/30)</f>
        <v/>
      </c>
      <c r="E15" s="34">
        <f>E13+E6*(Premissas!$C$38/30)</f>
        <v/>
      </c>
      <c r="F15" s="34">
        <f>F13+F6*(Premissas!$C$38/30)</f>
        <v/>
      </c>
      <c r="G15" s="34">
        <f>G13+G6*(Premissas!$C$38/30)</f>
        <v/>
      </c>
      <c r="H15" s="34">
        <f>H13+H6*(Premissas!$C$38/30)</f>
        <v/>
      </c>
      <c r="I15" s="34">
        <f>I13+I6*(Premissas!$C$38/30)</f>
        <v/>
      </c>
      <c r="J15" s="34">
        <f>J13+J6*(Premissas!$C$38/30)</f>
        <v/>
      </c>
      <c r="K15" s="34">
        <f>K13+K6*(Premissas!$C$38/30)</f>
        <v/>
      </c>
      <c r="L15" s="34">
        <f>L13+L6*(Premissas!$C$38/30)</f>
        <v/>
      </c>
      <c r="M15" s="34">
        <f>M13+M6*(Premissas!$C$38/30)</f>
        <v/>
      </c>
      <c r="N15" s="34">
        <f>N13+N6*(Premissas!$C$38/30)</f>
        <v/>
      </c>
      <c r="O15" s="34">
        <f>O13+O6*(Premissas!$C$38/30)</f>
        <v/>
      </c>
      <c r="P15" s="34">
        <f>P13+P6*(Premissas!$C$38/30)</f>
        <v/>
      </c>
      <c r="Q15" s="34">
        <f>Q13+Q6*(Premissas!$C$38/30)</f>
        <v/>
      </c>
      <c r="R15" s="34">
        <f>R13+R6*(Premissas!$C$38/30)</f>
        <v/>
      </c>
      <c r="S15" s="34">
        <f>S13+S6*(Premissas!$C$38/30)</f>
        <v/>
      </c>
      <c r="T15" s="34">
        <f>T13+T6*(Premissas!$C$38/30)</f>
        <v/>
      </c>
      <c r="U15" s="34">
        <f>U13+U6*(Premissas!$C$38/30)</f>
        <v/>
      </c>
      <c r="V15" s="34">
        <f>V13+V6*(Premissas!$C$38/30)</f>
        <v/>
      </c>
      <c r="W15" s="34">
        <f>W13+W6*(Premissas!$C$38/30)</f>
        <v/>
      </c>
      <c r="X15" s="34">
        <f>X13+X6*(Premissas!$C$38/30)</f>
        <v/>
      </c>
      <c r="Y15" s="34">
        <f>Y13+Y6*(Premissas!$C$38/30)</f>
        <v/>
      </c>
      <c r="Z15" s="34">
        <f>Z13+Z6*(Premissas!$C$38/30)</f>
        <v/>
      </c>
      <c r="AA15" s="34">
        <f>AA13+AA6*(Premissas!$C$38/30)</f>
        <v/>
      </c>
      <c r="AB15" s="34">
        <f>AB13+AB6*(Premissas!$C$38/30)</f>
        <v/>
      </c>
      <c r="AC15" s="34">
        <f>AC13+AC6*(Premissas!$C$38/30)</f>
        <v/>
      </c>
      <c r="AD15" s="34">
        <f>AD13+AD6*(Premissas!$C$38/30)</f>
        <v/>
      </c>
      <c r="AE15" s="34">
        <f>AE13+AE6*(Premissas!$C$38/30)</f>
        <v/>
      </c>
      <c r="AF15" s="34">
        <f>AF13+AF6*(Premissas!$C$38/30)</f>
        <v/>
      </c>
      <c r="AG15" s="34">
        <f>AG13+AG6*(Premissas!$C$38/30)</f>
        <v/>
      </c>
      <c r="AH15" s="34">
        <f>AH13+AH6*(Premissas!$C$38/30)</f>
        <v/>
      </c>
      <c r="AI15" s="34">
        <f>AI13+AI6*(Premissas!$C$38/30)</f>
        <v/>
      </c>
      <c r="AJ15" s="34">
        <f>AJ13+AJ6*(Premissas!$C$38/30)</f>
        <v/>
      </c>
      <c r="AK15" s="34">
        <f>AK13+AK6*(Premissas!$C$38/30)</f>
        <v/>
      </c>
      <c r="AL15" s="34">
        <f>AL13+AL6*(Premissas!$C$38/30)</f>
        <v/>
      </c>
      <c r="AM15" s="34">
        <f>AM13+AM6*(Premissas!$C$38/30)</f>
        <v/>
      </c>
      <c r="AN15" s="34">
        <f>AN13+AN6*(Premissas!$C$38/30)</f>
        <v/>
      </c>
      <c r="AO15" s="34">
        <f>AO13+AO6*(Premissas!$C$38/30)</f>
        <v/>
      </c>
      <c r="AP15" s="34">
        <f>AP13+AP6*(Premissas!$C$38/30)</f>
        <v/>
      </c>
      <c r="AQ15" s="34">
        <f>AQ13+AQ6*(Premissas!$C$38/30)</f>
        <v/>
      </c>
      <c r="AR15" s="34">
        <f>AR13+AR6*(Premissas!$C$38/30)</f>
        <v/>
      </c>
      <c r="AS15" s="34">
        <f>AS13+AS6*(Premissas!$C$38/30)</f>
        <v/>
      </c>
      <c r="AT15" s="34">
        <f>AT13+AT6*(Premissas!$C$38/30)</f>
        <v/>
      </c>
      <c r="AU15" s="34">
        <f>AU13+AU6*(Premissas!$C$38/30)</f>
        <v/>
      </c>
      <c r="AV15" s="34">
        <f>AV13+AV6*(Premissas!$C$38/30)</f>
        <v/>
      </c>
      <c r="AW15" s="34">
        <f>AW13+AW6*(Premissas!$C$38/30)</f>
        <v/>
      </c>
      <c r="AX15" s="34">
        <f>AX13+AX6*(Premissas!$C$38/30)</f>
        <v/>
      </c>
      <c r="AY15" s="34">
        <f>AY13+AY6*(Premissas!$C$38/30)</f>
        <v/>
      </c>
      <c r="AZ15" s="34">
        <f>AZ13+AZ6*(Premissas!$C$38/30)</f>
        <v/>
      </c>
      <c r="BA15" s="34">
        <f>BA13+BA6*(Premissas!$C$38/30)</f>
        <v/>
      </c>
      <c r="BB15" s="34">
        <f>BB13+BB6*(Premissas!$C$38/30)</f>
        <v/>
      </c>
      <c r="BC15" s="34">
        <f>BC13+BC6*(Premissas!$C$38/30)</f>
        <v/>
      </c>
      <c r="BD15" s="34">
        <f>BD13+BD6*(Premissas!$C$38/30)</f>
        <v/>
      </c>
      <c r="BE15" s="34">
        <f>BE13+BE6*(Premissas!$C$38/30)</f>
        <v/>
      </c>
      <c r="BF15" s="34">
        <f>BF13+BF6*(Premissas!$C$38/30)</f>
        <v/>
      </c>
      <c r="BG15" s="34">
        <f>BG13+BG6*(Premissas!$C$38/30)</f>
        <v/>
      </c>
      <c r="BH15" s="34">
        <f>BH13+BH6*(Premissas!$C$38/30)</f>
        <v/>
      </c>
      <c r="BI15" s="34">
        <f>BI13+BI6*(Premissas!$C$38/30)</f>
        <v/>
      </c>
      <c r="BJ15" s="34">
        <f>BJ13+BJ6*(Premissas!$C$38/30)</f>
        <v/>
      </c>
      <c r="BK15" s="34">
        <f>BK13+BK6*(Premissas!$C$38/30)</f>
        <v/>
      </c>
    </row>
    <row r="16" ht="15" customHeight="1" s="35">
      <c r="A16" s="46" t="inlineStr">
        <is>
          <t>── RECEITA ──</t>
        </is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</row>
    <row r="17" ht="15" customHeight="1" s="35">
      <c r="A17" s="43" t="inlineStr">
        <is>
          <t>Receita mensalidade Node: Pro (R$)</t>
        </is>
      </c>
      <c r="B17" s="53" t="inlineStr">
        <is>
          <t>R$</t>
        </is>
      </c>
      <c r="C17" s="58" t="n">
        <v>0</v>
      </c>
      <c r="D17" s="58">
        <f>D11*Premissas!$C$5</f>
        <v/>
      </c>
      <c r="E17" s="58">
        <f>E11*Premissas!$C$5</f>
        <v/>
      </c>
      <c r="F17" s="58">
        <f>F11*Premissas!$C$5</f>
        <v/>
      </c>
      <c r="G17" s="58">
        <f>G11*Premissas!$C$5</f>
        <v/>
      </c>
      <c r="H17" s="58">
        <f>H11*Premissas!$C$5</f>
        <v/>
      </c>
      <c r="I17" s="58">
        <f>I11*Premissas!$C$5</f>
        <v/>
      </c>
      <c r="J17" s="58">
        <f>J11*Premissas!$C$5</f>
        <v/>
      </c>
      <c r="K17" s="58">
        <f>K11*Premissas!$C$5</f>
        <v/>
      </c>
      <c r="L17" s="58">
        <f>L11*Premissas!$C$5</f>
        <v/>
      </c>
      <c r="M17" s="58">
        <f>M11*Premissas!$C$5</f>
        <v/>
      </c>
      <c r="N17" s="58">
        <f>N11*Premissas!$C$5</f>
        <v/>
      </c>
      <c r="O17" s="58">
        <f>O11*Premissas!$C$5</f>
        <v/>
      </c>
      <c r="P17" s="58">
        <f>P11*Premissas!$C$5</f>
        <v/>
      </c>
      <c r="Q17" s="58">
        <f>Q11*Premissas!$C$5</f>
        <v/>
      </c>
      <c r="R17" s="58">
        <f>R11*Premissas!$C$5</f>
        <v/>
      </c>
      <c r="S17" s="58">
        <f>S11*Premissas!$C$5</f>
        <v/>
      </c>
      <c r="T17" s="58">
        <f>T11*Premissas!$C$5</f>
        <v/>
      </c>
      <c r="U17" s="58">
        <f>U11*Premissas!$C$5</f>
        <v/>
      </c>
      <c r="V17" s="58">
        <f>V11*Premissas!$C$5</f>
        <v/>
      </c>
      <c r="W17" s="58">
        <f>W11*Premissas!$C$5</f>
        <v/>
      </c>
      <c r="X17" s="58">
        <f>X11*Premissas!$C$5</f>
        <v/>
      </c>
      <c r="Y17" s="58">
        <f>Y11*Premissas!$C$5</f>
        <v/>
      </c>
      <c r="Z17" s="58">
        <f>Z11*Premissas!$C$5</f>
        <v/>
      </c>
      <c r="AA17" s="58">
        <f>AA11*Premissas!$C$5</f>
        <v/>
      </c>
      <c r="AB17" s="58">
        <f>AB11*Premissas!$C$5</f>
        <v/>
      </c>
      <c r="AC17" s="58">
        <f>AC11*Premissas!$C$5</f>
        <v/>
      </c>
      <c r="AD17" s="58">
        <f>AD11*Premissas!$C$5</f>
        <v/>
      </c>
      <c r="AE17" s="58">
        <f>AE11*Premissas!$C$5</f>
        <v/>
      </c>
      <c r="AF17" s="58">
        <f>AF11*Premissas!$C$5</f>
        <v/>
      </c>
      <c r="AG17" s="58">
        <f>AG11*Premissas!$C$5</f>
        <v/>
      </c>
      <c r="AH17" s="58">
        <f>AH11*Premissas!$C$5</f>
        <v/>
      </c>
      <c r="AI17" s="58">
        <f>AI11*Premissas!$C$5</f>
        <v/>
      </c>
      <c r="AJ17" s="58">
        <f>AJ11*Premissas!$C$5</f>
        <v/>
      </c>
      <c r="AK17" s="58">
        <f>AK11*Premissas!$C$5</f>
        <v/>
      </c>
      <c r="AL17" s="58">
        <f>AL11*Premissas!$C$5</f>
        <v/>
      </c>
      <c r="AM17" s="58">
        <f>AM11*Premissas!$C$5</f>
        <v/>
      </c>
      <c r="AN17" s="58">
        <f>AN11*Premissas!$C$5</f>
        <v/>
      </c>
      <c r="AO17" s="58">
        <f>AO11*Premissas!$C$5</f>
        <v/>
      </c>
      <c r="AP17" s="58">
        <f>AP11*Premissas!$C$5</f>
        <v/>
      </c>
      <c r="AQ17" s="58">
        <f>AQ11*Premissas!$C$5</f>
        <v/>
      </c>
      <c r="AR17" s="58">
        <f>AR11*Premissas!$C$5</f>
        <v/>
      </c>
      <c r="AS17" s="58">
        <f>AS11*Premissas!$C$5</f>
        <v/>
      </c>
      <c r="AT17" s="58">
        <f>AT11*Premissas!$C$5</f>
        <v/>
      </c>
      <c r="AU17" s="58">
        <f>AU11*Premissas!$C$5</f>
        <v/>
      </c>
      <c r="AV17" s="58">
        <f>AV11*Premissas!$C$5</f>
        <v/>
      </c>
      <c r="AW17" s="58">
        <f>AW11*Premissas!$C$5</f>
        <v/>
      </c>
      <c r="AX17" s="58">
        <f>AX11*Premissas!$C$5</f>
        <v/>
      </c>
      <c r="AY17" s="58">
        <f>AY11*Premissas!$C$5</f>
        <v/>
      </c>
      <c r="AZ17" s="58">
        <f>AZ11*Premissas!$C$5</f>
        <v/>
      </c>
      <c r="BA17" s="58">
        <f>BA11*Premissas!$C$5</f>
        <v/>
      </c>
      <c r="BB17" s="58">
        <f>BB11*Premissas!$C$5</f>
        <v/>
      </c>
      <c r="BC17" s="58">
        <f>BC11*Premissas!$C$5</f>
        <v/>
      </c>
      <c r="BD17" s="58">
        <f>BD11*Premissas!$C$5</f>
        <v/>
      </c>
      <c r="BE17" s="58">
        <f>BE11*Premissas!$C$5</f>
        <v/>
      </c>
      <c r="BF17" s="58">
        <f>BF11*Premissas!$C$5</f>
        <v/>
      </c>
      <c r="BG17" s="58">
        <f>BG11*Premissas!$C$5</f>
        <v/>
      </c>
      <c r="BH17" s="58">
        <f>BH11*Premissas!$C$5</f>
        <v/>
      </c>
      <c r="BI17" s="58">
        <f>BI11*Premissas!$C$5</f>
        <v/>
      </c>
      <c r="BJ17" s="58">
        <f>BJ11*Premissas!$C$5</f>
        <v/>
      </c>
      <c r="BK17" s="58">
        <f>BK11*Premissas!$C$5</f>
        <v/>
      </c>
    </row>
    <row r="18" ht="15" customHeight="1" s="35">
      <c r="A18" s="43" t="inlineStr">
        <is>
          <t>Receita mensalidade Node: Institutional (R$)</t>
        </is>
      </c>
      <c r="B18" s="53" t="inlineStr">
        <is>
          <t>R$</t>
        </is>
      </c>
      <c r="C18" s="58" t="n">
        <v>0</v>
      </c>
      <c r="D18" s="58">
        <f>D12*Premissas!$C$6</f>
        <v/>
      </c>
      <c r="E18" s="58">
        <f>E12*Premissas!$C$6</f>
        <v/>
      </c>
      <c r="F18" s="58">
        <f>F12*Premissas!$C$6</f>
        <v/>
      </c>
      <c r="G18" s="58">
        <f>G12*Premissas!$C$6</f>
        <v/>
      </c>
      <c r="H18" s="58">
        <f>H12*Premissas!$C$6</f>
        <v/>
      </c>
      <c r="I18" s="58">
        <f>I12*Premissas!$C$6</f>
        <v/>
      </c>
      <c r="J18" s="58">
        <f>J12*Premissas!$C$6</f>
        <v/>
      </c>
      <c r="K18" s="58">
        <f>K12*Premissas!$C$6</f>
        <v/>
      </c>
      <c r="L18" s="58">
        <f>L12*Premissas!$C$6</f>
        <v/>
      </c>
      <c r="M18" s="58">
        <f>M12*Premissas!$C$6</f>
        <v/>
      </c>
      <c r="N18" s="58">
        <f>N12*Premissas!$C$6</f>
        <v/>
      </c>
      <c r="O18" s="58">
        <f>O12*Premissas!$C$6</f>
        <v/>
      </c>
      <c r="P18" s="58">
        <f>P12*Premissas!$C$6</f>
        <v/>
      </c>
      <c r="Q18" s="58">
        <f>Q12*Premissas!$C$6</f>
        <v/>
      </c>
      <c r="R18" s="58">
        <f>R12*Premissas!$C$6</f>
        <v/>
      </c>
      <c r="S18" s="58">
        <f>S12*Premissas!$C$6</f>
        <v/>
      </c>
      <c r="T18" s="58">
        <f>T12*Premissas!$C$6</f>
        <v/>
      </c>
      <c r="U18" s="58">
        <f>U12*Premissas!$C$6</f>
        <v/>
      </c>
      <c r="V18" s="58">
        <f>V12*Premissas!$C$6</f>
        <v/>
      </c>
      <c r="W18" s="58">
        <f>W12*Premissas!$C$6</f>
        <v/>
      </c>
      <c r="X18" s="58">
        <f>X12*Premissas!$C$6</f>
        <v/>
      </c>
      <c r="Y18" s="58">
        <f>Y12*Premissas!$C$6</f>
        <v/>
      </c>
      <c r="Z18" s="58">
        <f>Z12*Premissas!$C$6</f>
        <v/>
      </c>
      <c r="AA18" s="58">
        <f>AA12*Premissas!$C$6</f>
        <v/>
      </c>
      <c r="AB18" s="58">
        <f>AB12*Premissas!$C$6</f>
        <v/>
      </c>
      <c r="AC18" s="58">
        <f>AC12*Premissas!$C$6</f>
        <v/>
      </c>
      <c r="AD18" s="58">
        <f>AD12*Premissas!$C$6</f>
        <v/>
      </c>
      <c r="AE18" s="58">
        <f>AE12*Premissas!$C$6</f>
        <v/>
      </c>
      <c r="AF18" s="58">
        <f>AF12*Premissas!$C$6</f>
        <v/>
      </c>
      <c r="AG18" s="58">
        <f>AG12*Premissas!$C$6</f>
        <v/>
      </c>
      <c r="AH18" s="58">
        <f>AH12*Premissas!$C$6</f>
        <v/>
      </c>
      <c r="AI18" s="58">
        <f>AI12*Premissas!$C$6</f>
        <v/>
      </c>
      <c r="AJ18" s="58">
        <f>AJ12*Premissas!$C$6</f>
        <v/>
      </c>
      <c r="AK18" s="58">
        <f>AK12*Premissas!$C$6</f>
        <v/>
      </c>
      <c r="AL18" s="58">
        <f>AL12*Premissas!$C$6</f>
        <v/>
      </c>
      <c r="AM18" s="58">
        <f>AM12*Premissas!$C$6</f>
        <v/>
      </c>
      <c r="AN18" s="58">
        <f>AN12*Premissas!$C$6</f>
        <v/>
      </c>
      <c r="AO18" s="58">
        <f>AO12*Premissas!$C$6</f>
        <v/>
      </c>
      <c r="AP18" s="58">
        <f>AP12*Premissas!$C$6</f>
        <v/>
      </c>
      <c r="AQ18" s="58">
        <f>AQ12*Premissas!$C$6</f>
        <v/>
      </c>
      <c r="AR18" s="58">
        <f>AR12*Premissas!$C$6</f>
        <v/>
      </c>
      <c r="AS18" s="58">
        <f>AS12*Premissas!$C$6</f>
        <v/>
      </c>
      <c r="AT18" s="58">
        <f>AT12*Premissas!$C$6</f>
        <v/>
      </c>
      <c r="AU18" s="58">
        <f>AU12*Premissas!$C$6</f>
        <v/>
      </c>
      <c r="AV18" s="58">
        <f>AV12*Premissas!$C$6</f>
        <v/>
      </c>
      <c r="AW18" s="58">
        <f>AW12*Premissas!$C$6</f>
        <v/>
      </c>
      <c r="AX18" s="58">
        <f>AX12*Premissas!$C$6</f>
        <v/>
      </c>
      <c r="AY18" s="58">
        <f>AY12*Premissas!$C$6</f>
        <v/>
      </c>
      <c r="AZ18" s="58">
        <f>AZ12*Premissas!$C$6</f>
        <v/>
      </c>
      <c r="BA18" s="58">
        <f>BA12*Premissas!$C$6</f>
        <v/>
      </c>
      <c r="BB18" s="58">
        <f>BB12*Premissas!$C$6</f>
        <v/>
      </c>
      <c r="BC18" s="58">
        <f>BC12*Premissas!$C$6</f>
        <v/>
      </c>
      <c r="BD18" s="58">
        <f>BD12*Premissas!$C$6</f>
        <v/>
      </c>
      <c r="BE18" s="58">
        <f>BE12*Premissas!$C$6</f>
        <v/>
      </c>
      <c r="BF18" s="58">
        <f>BF12*Premissas!$C$6</f>
        <v/>
      </c>
      <c r="BG18" s="58">
        <f>BG12*Premissas!$C$6</f>
        <v/>
      </c>
      <c r="BH18" s="58">
        <f>BH12*Premissas!$C$6</f>
        <v/>
      </c>
      <c r="BI18" s="58">
        <f>BI12*Premissas!$C$6</f>
        <v/>
      </c>
      <c r="BJ18" s="58">
        <f>BJ12*Premissas!$C$6</f>
        <v/>
      </c>
      <c r="BK18" s="58">
        <f>BK12*Premissas!$C$6</f>
        <v/>
      </c>
    </row>
    <row r="19" ht="15" customHeight="1" s="35">
      <c r="A19" s="43" t="inlineStr">
        <is>
          <t>Lotes negociados no mês — Pro+Institutional (lotes)</t>
        </is>
      </c>
      <c r="B19" s="53" t="inlineStr">
        <is>
          <t>lotes</t>
        </is>
      </c>
      <c r="C19" s="60" t="n">
        <v>0</v>
      </c>
      <c r="D19" s="60">
        <f>D13*Premissas!$C$18</f>
        <v/>
      </c>
      <c r="E19" s="60">
        <f>E13*Premissas!$C$18</f>
        <v/>
      </c>
      <c r="F19" s="60">
        <f>F13*Premissas!$C$18</f>
        <v/>
      </c>
      <c r="G19" s="60">
        <f>G13*Premissas!$C$18</f>
        <v/>
      </c>
      <c r="H19" s="60">
        <f>H13*Premissas!$C$18</f>
        <v/>
      </c>
      <c r="I19" s="60">
        <f>I13*Premissas!$C$18</f>
        <v/>
      </c>
      <c r="J19" s="60">
        <f>J13*Premissas!$C$18</f>
        <v/>
      </c>
      <c r="K19" s="60">
        <f>K13*Premissas!$C$18</f>
        <v/>
      </c>
      <c r="L19" s="60">
        <f>L13*Premissas!$C$18</f>
        <v/>
      </c>
      <c r="M19" s="60">
        <f>M13*Premissas!$C$18</f>
        <v/>
      </c>
      <c r="N19" s="60">
        <f>N13*Premissas!$C$18</f>
        <v/>
      </c>
      <c r="O19" s="60">
        <f>O13*Premissas!$C$18</f>
        <v/>
      </c>
      <c r="P19" s="60">
        <f>P13*Premissas!$C$18</f>
        <v/>
      </c>
      <c r="Q19" s="60">
        <f>Q13*Premissas!$C$18</f>
        <v/>
      </c>
      <c r="R19" s="60">
        <f>R13*Premissas!$C$18</f>
        <v/>
      </c>
      <c r="S19" s="60">
        <f>S13*Premissas!$C$18</f>
        <v/>
      </c>
      <c r="T19" s="60">
        <f>T13*Premissas!$C$18</f>
        <v/>
      </c>
      <c r="U19" s="60">
        <f>U13*Premissas!$C$18</f>
        <v/>
      </c>
      <c r="V19" s="60">
        <f>V13*Premissas!$C$18</f>
        <v/>
      </c>
      <c r="W19" s="60">
        <f>W13*Premissas!$C$18</f>
        <v/>
      </c>
      <c r="X19" s="60">
        <f>X13*Premissas!$C$18</f>
        <v/>
      </c>
      <c r="Y19" s="60">
        <f>Y13*Premissas!$C$18</f>
        <v/>
      </c>
      <c r="Z19" s="60">
        <f>Z13*Premissas!$C$18</f>
        <v/>
      </c>
      <c r="AA19" s="60">
        <f>AA13*Premissas!$C$18</f>
        <v/>
      </c>
      <c r="AB19" s="60">
        <f>AB13*Premissas!$C$18</f>
        <v/>
      </c>
      <c r="AC19" s="60">
        <f>AC13*Premissas!$C$18</f>
        <v/>
      </c>
      <c r="AD19" s="60">
        <f>AD13*Premissas!$C$18</f>
        <v/>
      </c>
      <c r="AE19" s="60">
        <f>AE13*Premissas!$C$18</f>
        <v/>
      </c>
      <c r="AF19" s="60">
        <f>AF13*Premissas!$C$18</f>
        <v/>
      </c>
      <c r="AG19" s="60">
        <f>AG13*Premissas!$C$18</f>
        <v/>
      </c>
      <c r="AH19" s="60">
        <f>AH13*Premissas!$C$18</f>
        <v/>
      </c>
      <c r="AI19" s="60">
        <f>AI13*Premissas!$C$18</f>
        <v/>
      </c>
      <c r="AJ19" s="60">
        <f>AJ13*Premissas!$C$18</f>
        <v/>
      </c>
      <c r="AK19" s="60">
        <f>AK13*Premissas!$C$18</f>
        <v/>
      </c>
      <c r="AL19" s="60">
        <f>AL13*Premissas!$C$18</f>
        <v/>
      </c>
      <c r="AM19" s="60">
        <f>AM13*Premissas!$C$18</f>
        <v/>
      </c>
      <c r="AN19" s="60">
        <f>AN13*Premissas!$C$18</f>
        <v/>
      </c>
      <c r="AO19" s="60">
        <f>AO13*Premissas!$C$18</f>
        <v/>
      </c>
      <c r="AP19" s="60">
        <f>AP13*Premissas!$C$18</f>
        <v/>
      </c>
      <c r="AQ19" s="60">
        <f>AQ13*Premissas!$C$18</f>
        <v/>
      </c>
      <c r="AR19" s="60">
        <f>AR13*Premissas!$C$18</f>
        <v/>
      </c>
      <c r="AS19" s="60">
        <f>AS13*Premissas!$C$18</f>
        <v/>
      </c>
      <c r="AT19" s="60">
        <f>AT13*Premissas!$C$18</f>
        <v/>
      </c>
      <c r="AU19" s="60">
        <f>AU13*Premissas!$C$18</f>
        <v/>
      </c>
      <c r="AV19" s="60">
        <f>AV13*Premissas!$C$18</f>
        <v/>
      </c>
      <c r="AW19" s="60">
        <f>AW13*Premissas!$C$18</f>
        <v/>
      </c>
      <c r="AX19" s="60">
        <f>AX13*Premissas!$C$18</f>
        <v/>
      </c>
      <c r="AY19" s="60">
        <f>AY13*Premissas!$C$18</f>
        <v/>
      </c>
      <c r="AZ19" s="60">
        <f>AZ13*Premissas!$C$18</f>
        <v/>
      </c>
      <c r="BA19" s="60">
        <f>BA13*Premissas!$C$18</f>
        <v/>
      </c>
      <c r="BB19" s="60">
        <f>BB13*Premissas!$C$18</f>
        <v/>
      </c>
      <c r="BC19" s="60">
        <f>BC13*Premissas!$C$18</f>
        <v/>
      </c>
      <c r="BD19" s="60">
        <f>BD13*Premissas!$C$18</f>
        <v/>
      </c>
      <c r="BE19" s="60">
        <f>BE13*Premissas!$C$18</f>
        <v/>
      </c>
      <c r="BF19" s="60">
        <f>BF13*Premissas!$C$18</f>
        <v/>
      </c>
      <c r="BG19" s="60">
        <f>BG13*Premissas!$C$18</f>
        <v/>
      </c>
      <c r="BH19" s="60">
        <f>BH13*Premissas!$C$18</f>
        <v/>
      </c>
      <c r="BI19" s="60">
        <f>BI13*Premissas!$C$18</f>
        <v/>
      </c>
      <c r="BJ19" s="60">
        <f>BJ13*Premissas!$C$18</f>
        <v/>
      </c>
      <c r="BK19" s="60">
        <f>BK13*Premissas!$C$18</f>
        <v/>
      </c>
    </row>
    <row r="20" ht="15" customHeight="1" s="35">
      <c r="A20" s="43" t="inlineStr">
        <is>
          <t>Lotes negociados no mês — Starter (lotes)</t>
        </is>
      </c>
      <c r="B20" s="53" t="inlineStr">
        <is>
          <t>lotes</t>
        </is>
      </c>
      <c r="C20" s="60" t="n">
        <v>0</v>
      </c>
      <c r="D20" s="60">
        <f>D6*Premissas!$C$19</f>
        <v/>
      </c>
      <c r="E20" s="60">
        <f>E6*Premissas!$C$19</f>
        <v/>
      </c>
      <c r="F20" s="60">
        <f>F6*Premissas!$C$19</f>
        <v/>
      </c>
      <c r="G20" s="60">
        <f>G6*Premissas!$C$19</f>
        <v/>
      </c>
      <c r="H20" s="60">
        <f>H6*Premissas!$C$19</f>
        <v/>
      </c>
      <c r="I20" s="60">
        <f>I6*Premissas!$C$19</f>
        <v/>
      </c>
      <c r="J20" s="60">
        <f>J6*Premissas!$C$19</f>
        <v/>
      </c>
      <c r="K20" s="60">
        <f>K6*Premissas!$C$19</f>
        <v/>
      </c>
      <c r="L20" s="60">
        <f>L6*Premissas!$C$19</f>
        <v/>
      </c>
      <c r="M20" s="60">
        <f>M6*Premissas!$C$19</f>
        <v/>
      </c>
      <c r="N20" s="60">
        <f>N6*Premissas!$C$19</f>
        <v/>
      </c>
      <c r="O20" s="60">
        <f>O6*Premissas!$C$19</f>
        <v/>
      </c>
      <c r="P20" s="60">
        <f>P6*Premissas!$C$19</f>
        <v/>
      </c>
      <c r="Q20" s="60">
        <f>Q6*Premissas!$C$19</f>
        <v/>
      </c>
      <c r="R20" s="60">
        <f>R6*Premissas!$C$19</f>
        <v/>
      </c>
      <c r="S20" s="60">
        <f>S6*Premissas!$C$19</f>
        <v/>
      </c>
      <c r="T20" s="60">
        <f>T6*Premissas!$C$19</f>
        <v/>
      </c>
      <c r="U20" s="60">
        <f>U6*Premissas!$C$19</f>
        <v/>
      </c>
      <c r="V20" s="60">
        <f>V6*Premissas!$C$19</f>
        <v/>
      </c>
      <c r="W20" s="60">
        <f>W6*Premissas!$C$19</f>
        <v/>
      </c>
      <c r="X20" s="60">
        <f>X6*Premissas!$C$19</f>
        <v/>
      </c>
      <c r="Y20" s="60">
        <f>Y6*Premissas!$C$19</f>
        <v/>
      </c>
      <c r="Z20" s="60">
        <f>Z6*Premissas!$C$19</f>
        <v/>
      </c>
      <c r="AA20" s="60">
        <f>AA6*Premissas!$C$19</f>
        <v/>
      </c>
      <c r="AB20" s="60">
        <f>AB6*Premissas!$C$19</f>
        <v/>
      </c>
      <c r="AC20" s="60">
        <f>AC6*Premissas!$C$19</f>
        <v/>
      </c>
      <c r="AD20" s="60">
        <f>AD6*Premissas!$C$19</f>
        <v/>
      </c>
      <c r="AE20" s="60">
        <f>AE6*Premissas!$C$19</f>
        <v/>
      </c>
      <c r="AF20" s="60">
        <f>AF6*Premissas!$C$19</f>
        <v/>
      </c>
      <c r="AG20" s="60">
        <f>AG6*Premissas!$C$19</f>
        <v/>
      </c>
      <c r="AH20" s="60">
        <f>AH6*Premissas!$C$19</f>
        <v/>
      </c>
      <c r="AI20" s="60">
        <f>AI6*Premissas!$C$19</f>
        <v/>
      </c>
      <c r="AJ20" s="60">
        <f>AJ6*Premissas!$C$19</f>
        <v/>
      </c>
      <c r="AK20" s="60">
        <f>AK6*Premissas!$C$19</f>
        <v/>
      </c>
      <c r="AL20" s="60">
        <f>AL6*Premissas!$C$19</f>
        <v/>
      </c>
      <c r="AM20" s="60">
        <f>AM6*Premissas!$C$19</f>
        <v/>
      </c>
      <c r="AN20" s="60">
        <f>AN6*Premissas!$C$19</f>
        <v/>
      </c>
      <c r="AO20" s="60">
        <f>AO6*Premissas!$C$19</f>
        <v/>
      </c>
      <c r="AP20" s="60">
        <f>AP6*Premissas!$C$19</f>
        <v/>
      </c>
      <c r="AQ20" s="60">
        <f>AQ6*Premissas!$C$19</f>
        <v/>
      </c>
      <c r="AR20" s="60">
        <f>AR6*Premissas!$C$19</f>
        <v/>
      </c>
      <c r="AS20" s="60">
        <f>AS6*Premissas!$C$19</f>
        <v/>
      </c>
      <c r="AT20" s="60">
        <f>AT6*Premissas!$C$19</f>
        <v/>
      </c>
      <c r="AU20" s="60">
        <f>AU6*Premissas!$C$19</f>
        <v/>
      </c>
      <c r="AV20" s="60">
        <f>AV6*Premissas!$C$19</f>
        <v/>
      </c>
      <c r="AW20" s="60">
        <f>AW6*Premissas!$C$19</f>
        <v/>
      </c>
      <c r="AX20" s="60">
        <f>AX6*Premissas!$C$19</f>
        <v/>
      </c>
      <c r="AY20" s="60">
        <f>AY6*Premissas!$C$19</f>
        <v/>
      </c>
      <c r="AZ20" s="60">
        <f>AZ6*Premissas!$C$19</f>
        <v/>
      </c>
      <c r="BA20" s="60">
        <f>BA6*Premissas!$C$19</f>
        <v/>
      </c>
      <c r="BB20" s="60">
        <f>BB6*Premissas!$C$19</f>
        <v/>
      </c>
      <c r="BC20" s="60">
        <f>BC6*Premissas!$C$19</f>
        <v/>
      </c>
      <c r="BD20" s="60">
        <f>BD6*Premissas!$C$19</f>
        <v/>
      </c>
      <c r="BE20" s="60">
        <f>BE6*Premissas!$C$19</f>
        <v/>
      </c>
      <c r="BF20" s="60">
        <f>BF6*Premissas!$C$19</f>
        <v/>
      </c>
      <c r="BG20" s="60">
        <f>BG6*Premissas!$C$19</f>
        <v/>
      </c>
      <c r="BH20" s="60">
        <f>BH6*Premissas!$C$19</f>
        <v/>
      </c>
      <c r="BI20" s="60">
        <f>BI6*Premissas!$C$19</f>
        <v/>
      </c>
      <c r="BJ20" s="60">
        <f>BJ6*Premissas!$C$19</f>
        <v/>
      </c>
      <c r="BK20" s="60">
        <f>BK6*Premissas!$C$19</f>
        <v/>
      </c>
    </row>
    <row r="21" ht="15" customHeight="1" s="35">
      <c r="A21" s="43" t="inlineStr">
        <is>
          <t>Receita comissão própria — só sobre volume Starter (R$)</t>
        </is>
      </c>
      <c r="B21" s="53" t="inlineStr">
        <is>
          <t>R$</t>
        </is>
      </c>
      <c r="C21" s="58" t="n">
        <v>0</v>
      </c>
      <c r="D21" s="58">
        <f>(D19+D20)*Premissas!$C$22</f>
        <v/>
      </c>
      <c r="E21" s="58">
        <f>(E19+E20)*Premissas!$C$22</f>
        <v/>
      </c>
      <c r="F21" s="58">
        <f>(F19+F20)*Premissas!$C$22</f>
        <v/>
      </c>
      <c r="G21" s="58">
        <f>(G19+G20)*Premissas!$C$22</f>
        <v/>
      </c>
      <c r="H21" s="58">
        <f>(H19+H20)*Premissas!$C$22</f>
        <v/>
      </c>
      <c r="I21" s="58">
        <f>(I19+I20)*Premissas!$C$22</f>
        <v/>
      </c>
      <c r="J21" s="58">
        <f>(J19+J20)*Premissas!$C$22</f>
        <v/>
      </c>
      <c r="K21" s="58">
        <f>(K19+K20)*Premissas!$C$22</f>
        <v/>
      </c>
      <c r="L21" s="58">
        <f>(L19+L20)*Premissas!$C$22</f>
        <v/>
      </c>
      <c r="M21" s="58">
        <f>(M19+M20)*Premissas!$C$22</f>
        <v/>
      </c>
      <c r="N21" s="58">
        <f>(N19+N20)*Premissas!$C$22</f>
        <v/>
      </c>
      <c r="O21" s="58">
        <f>(O19+O20)*Premissas!$C$22</f>
        <v/>
      </c>
      <c r="P21" s="58">
        <f>(P19+P20)*Premissas!$C$22</f>
        <v/>
      </c>
      <c r="Q21" s="58">
        <f>(Q19+Q20)*Premissas!$C$22</f>
        <v/>
      </c>
      <c r="R21" s="58">
        <f>(R19+R20)*Premissas!$C$22</f>
        <v/>
      </c>
      <c r="S21" s="58">
        <f>(S19+S20)*Premissas!$C$22</f>
        <v/>
      </c>
      <c r="T21" s="58">
        <f>(T19+T20)*Premissas!$C$22</f>
        <v/>
      </c>
      <c r="U21" s="58">
        <f>(U19+U20)*Premissas!$C$22</f>
        <v/>
      </c>
      <c r="V21" s="58">
        <f>(V19+V20)*Premissas!$C$22</f>
        <v/>
      </c>
      <c r="W21" s="58">
        <f>(W19+W20)*Premissas!$C$22</f>
        <v/>
      </c>
      <c r="X21" s="58">
        <f>(X19+X20)*Premissas!$C$22</f>
        <v/>
      </c>
      <c r="Y21" s="58">
        <f>(Y19+Y20)*Premissas!$C$22</f>
        <v/>
      </c>
      <c r="Z21" s="58">
        <f>(Z19+Z20)*Premissas!$C$22</f>
        <v/>
      </c>
      <c r="AA21" s="58">
        <f>(AA19+AA20)*Premissas!$C$22</f>
        <v/>
      </c>
      <c r="AB21" s="58">
        <f>(AB19+AB20)*Premissas!$C$22</f>
        <v/>
      </c>
      <c r="AC21" s="58">
        <f>(AC19+AC20)*Premissas!$C$22</f>
        <v/>
      </c>
      <c r="AD21" s="58">
        <f>(AD19+AD20)*Premissas!$C$22</f>
        <v/>
      </c>
      <c r="AE21" s="58">
        <f>(AE19+AE20)*Premissas!$C$22</f>
        <v/>
      </c>
      <c r="AF21" s="58">
        <f>(AF19+AF20)*Premissas!$C$22</f>
        <v/>
      </c>
      <c r="AG21" s="58">
        <f>(AG19+AG20)*Premissas!$C$22</f>
        <v/>
      </c>
      <c r="AH21" s="58">
        <f>(AH19+AH20)*Premissas!$C$22</f>
        <v/>
      </c>
      <c r="AI21" s="58">
        <f>(AI19+AI20)*Premissas!$C$22</f>
        <v/>
      </c>
      <c r="AJ21" s="58">
        <f>(AJ19+AJ20)*Premissas!$C$22</f>
        <v/>
      </c>
      <c r="AK21" s="58">
        <f>(AK19+AK20)*Premissas!$C$22</f>
        <v/>
      </c>
      <c r="AL21" s="58">
        <f>(AL19+AL20)*Premissas!$C$22</f>
        <v/>
      </c>
      <c r="AM21" s="58">
        <f>(AM19+AM20)*Premissas!$C$22</f>
        <v/>
      </c>
      <c r="AN21" s="58">
        <f>(AN19+AN20)*Premissas!$C$22</f>
        <v/>
      </c>
      <c r="AO21" s="58">
        <f>(AO19+AO20)*Premissas!$C$22</f>
        <v/>
      </c>
      <c r="AP21" s="58">
        <f>(AP19+AP20)*Premissas!$C$22</f>
        <v/>
      </c>
      <c r="AQ21" s="58">
        <f>(AQ19+AQ20)*Premissas!$C$22</f>
        <v/>
      </c>
      <c r="AR21" s="58">
        <f>(AR19+AR20)*Premissas!$C$22</f>
        <v/>
      </c>
      <c r="AS21" s="58">
        <f>(AS19+AS20)*Premissas!$C$22</f>
        <v/>
      </c>
      <c r="AT21" s="58">
        <f>(AT19+AT20)*Premissas!$C$22</f>
        <v/>
      </c>
      <c r="AU21" s="58">
        <f>(AU19+AU20)*Premissas!$C$22</f>
        <v/>
      </c>
      <c r="AV21" s="58">
        <f>(AV19+AV20)*Premissas!$C$22</f>
        <v/>
      </c>
      <c r="AW21" s="58">
        <f>(AW19+AW20)*Premissas!$C$22</f>
        <v/>
      </c>
      <c r="AX21" s="58">
        <f>(AX19+AX20)*Premissas!$C$22</f>
        <v/>
      </c>
      <c r="AY21" s="58">
        <f>(AY19+AY20)*Premissas!$C$22</f>
        <v/>
      </c>
      <c r="AZ21" s="58">
        <f>(AZ19+AZ20)*Premissas!$C$22</f>
        <v/>
      </c>
      <c r="BA21" s="58">
        <f>(BA19+BA20)*Premissas!$C$22</f>
        <v/>
      </c>
      <c r="BB21" s="58">
        <f>(BB19+BB20)*Premissas!$C$22</f>
        <v/>
      </c>
      <c r="BC21" s="58">
        <f>(BC19+BC20)*Premissas!$C$22</f>
        <v/>
      </c>
      <c r="BD21" s="58">
        <f>(BD19+BD20)*Premissas!$C$22</f>
        <v/>
      </c>
      <c r="BE21" s="58">
        <f>(BE19+BE20)*Premissas!$C$22</f>
        <v/>
      </c>
      <c r="BF21" s="58">
        <f>(BF19+BF20)*Premissas!$C$22</f>
        <v/>
      </c>
      <c r="BG21" s="58">
        <f>(BG19+BG20)*Premissas!$C$22</f>
        <v/>
      </c>
      <c r="BH21" s="58">
        <f>(BH19+BH20)*Premissas!$C$22</f>
        <v/>
      </c>
      <c r="BI21" s="58">
        <f>(BI19+BI20)*Premissas!$C$22</f>
        <v/>
      </c>
      <c r="BJ21" s="58">
        <f>(BJ19+BJ20)*Premissas!$C$22</f>
        <v/>
      </c>
      <c r="BK21" s="58">
        <f>(BK19+BK20)*Premissas!$C$22</f>
        <v/>
      </c>
    </row>
    <row r="22" ht="15" customHeight="1" s="35">
      <c r="A22" s="43" t="inlineStr">
        <is>
          <t>Receita rebate IB — sobre todo o volume (R$)</t>
        </is>
      </c>
      <c r="B22" s="53" t="inlineStr">
        <is>
          <t>R$</t>
        </is>
      </c>
      <c r="C22" s="58" t="n">
        <v>0</v>
      </c>
      <c r="D22" s="58">
        <f>(D19+D20)*Premissas!$C$23</f>
        <v/>
      </c>
      <c r="E22" s="58">
        <f>(E19+E20)*Premissas!$C$23</f>
        <v/>
      </c>
      <c r="F22" s="58">
        <f>(F19+F20)*Premissas!$C$23</f>
        <v/>
      </c>
      <c r="G22" s="58">
        <f>(G19+G20)*Premissas!$C$23</f>
        <v/>
      </c>
      <c r="H22" s="58">
        <f>(H19+H20)*Premissas!$C$23</f>
        <v/>
      </c>
      <c r="I22" s="58">
        <f>(I19+I20)*Premissas!$C$23</f>
        <v/>
      </c>
      <c r="J22" s="58">
        <f>(J19+J20)*Premissas!$C$23</f>
        <v/>
      </c>
      <c r="K22" s="58">
        <f>(K19+K20)*Premissas!$C$23</f>
        <v/>
      </c>
      <c r="L22" s="58">
        <f>(L19+L20)*Premissas!$C$23</f>
        <v/>
      </c>
      <c r="M22" s="58">
        <f>(M19+M20)*Premissas!$C$23</f>
        <v/>
      </c>
      <c r="N22" s="58">
        <f>(N19+N20)*Premissas!$C$23</f>
        <v/>
      </c>
      <c r="O22" s="58">
        <f>(O19+O20)*Premissas!$C$23</f>
        <v/>
      </c>
      <c r="P22" s="58">
        <f>(P19+P20)*Premissas!$C$23</f>
        <v/>
      </c>
      <c r="Q22" s="58">
        <f>(Q19+Q20)*Premissas!$C$23</f>
        <v/>
      </c>
      <c r="R22" s="58">
        <f>(R19+R20)*Premissas!$C$23</f>
        <v/>
      </c>
      <c r="S22" s="58">
        <f>(S19+S20)*Premissas!$C$23</f>
        <v/>
      </c>
      <c r="T22" s="58">
        <f>(T19+T20)*Premissas!$C$23</f>
        <v/>
      </c>
      <c r="U22" s="58">
        <f>(U19+U20)*Premissas!$C$23</f>
        <v/>
      </c>
      <c r="V22" s="58">
        <f>(V19+V20)*Premissas!$C$23</f>
        <v/>
      </c>
      <c r="W22" s="58">
        <f>(W19+W20)*Premissas!$C$23</f>
        <v/>
      </c>
      <c r="X22" s="58">
        <f>(X19+X20)*Premissas!$C$23</f>
        <v/>
      </c>
      <c r="Y22" s="58">
        <f>(Y19+Y20)*Premissas!$C$23</f>
        <v/>
      </c>
      <c r="Z22" s="58">
        <f>(Z19+Z20)*Premissas!$C$23</f>
        <v/>
      </c>
      <c r="AA22" s="58">
        <f>(AA19+AA20)*Premissas!$C$23</f>
        <v/>
      </c>
      <c r="AB22" s="58">
        <f>(AB19+AB20)*Premissas!$C$23</f>
        <v/>
      </c>
      <c r="AC22" s="58">
        <f>(AC19+AC20)*Premissas!$C$23</f>
        <v/>
      </c>
      <c r="AD22" s="58">
        <f>(AD19+AD20)*Premissas!$C$23</f>
        <v/>
      </c>
      <c r="AE22" s="58">
        <f>(AE19+AE20)*Premissas!$C$23</f>
        <v/>
      </c>
      <c r="AF22" s="58">
        <f>(AF19+AF20)*Premissas!$C$23</f>
        <v/>
      </c>
      <c r="AG22" s="58">
        <f>(AG19+AG20)*Premissas!$C$23</f>
        <v/>
      </c>
      <c r="AH22" s="58">
        <f>(AH19+AH20)*Premissas!$C$23</f>
        <v/>
      </c>
      <c r="AI22" s="58">
        <f>(AI19+AI20)*Premissas!$C$23</f>
        <v/>
      </c>
      <c r="AJ22" s="58">
        <f>(AJ19+AJ20)*Premissas!$C$23</f>
        <v/>
      </c>
      <c r="AK22" s="58">
        <f>(AK19+AK20)*Premissas!$C$23</f>
        <v/>
      </c>
      <c r="AL22" s="58">
        <f>(AL19+AL20)*Premissas!$C$23</f>
        <v/>
      </c>
      <c r="AM22" s="58">
        <f>(AM19+AM20)*Premissas!$C$23</f>
        <v/>
      </c>
      <c r="AN22" s="58">
        <f>(AN19+AN20)*Premissas!$C$23</f>
        <v/>
      </c>
      <c r="AO22" s="58">
        <f>(AO19+AO20)*Premissas!$C$23</f>
        <v/>
      </c>
      <c r="AP22" s="58">
        <f>(AP19+AP20)*Premissas!$C$23</f>
        <v/>
      </c>
      <c r="AQ22" s="58">
        <f>(AQ19+AQ20)*Premissas!$C$23</f>
        <v/>
      </c>
      <c r="AR22" s="58">
        <f>(AR19+AR20)*Premissas!$C$23</f>
        <v/>
      </c>
      <c r="AS22" s="58">
        <f>(AS19+AS20)*Premissas!$C$23</f>
        <v/>
      </c>
      <c r="AT22" s="58">
        <f>(AT19+AT20)*Premissas!$C$23</f>
        <v/>
      </c>
      <c r="AU22" s="58">
        <f>(AU19+AU20)*Premissas!$C$23</f>
        <v/>
      </c>
      <c r="AV22" s="58">
        <f>(AV19+AV20)*Premissas!$C$23</f>
        <v/>
      </c>
      <c r="AW22" s="58">
        <f>(AW19+AW20)*Premissas!$C$23</f>
        <v/>
      </c>
      <c r="AX22" s="58">
        <f>(AX19+AX20)*Premissas!$C$23</f>
        <v/>
      </c>
      <c r="AY22" s="58">
        <f>(AY19+AY20)*Premissas!$C$23</f>
        <v/>
      </c>
      <c r="AZ22" s="58">
        <f>(AZ19+AZ20)*Premissas!$C$23</f>
        <v/>
      </c>
      <c r="BA22" s="58">
        <f>(BA19+BA20)*Premissas!$C$23</f>
        <v/>
      </c>
      <c r="BB22" s="58">
        <f>(BB19+BB20)*Premissas!$C$23</f>
        <v/>
      </c>
      <c r="BC22" s="58">
        <f>(BC19+BC20)*Premissas!$C$23</f>
        <v/>
      </c>
      <c r="BD22" s="58">
        <f>(BD19+BD20)*Premissas!$C$23</f>
        <v/>
      </c>
      <c r="BE22" s="58">
        <f>(BE19+BE20)*Premissas!$C$23</f>
        <v/>
      </c>
      <c r="BF22" s="58">
        <f>(BF19+BF20)*Premissas!$C$23</f>
        <v/>
      </c>
      <c r="BG22" s="58">
        <f>(BG19+BG20)*Premissas!$C$23</f>
        <v/>
      </c>
      <c r="BH22" s="58">
        <f>(BH19+BH20)*Premissas!$C$23</f>
        <v/>
      </c>
      <c r="BI22" s="58">
        <f>(BI19+BI20)*Premissas!$C$23</f>
        <v/>
      </c>
      <c r="BJ22" s="58">
        <f>(BJ19+BJ20)*Premissas!$C$23</f>
        <v/>
      </c>
      <c r="BK22" s="58">
        <f>(BK19+BK20)*Premissas!$C$23</f>
        <v/>
      </c>
    </row>
    <row r="23" ht="15" customHeight="1" s="35">
      <c r="A23" s="43" t="inlineStr">
        <is>
          <t>Receita marketplace (R$)</t>
        </is>
      </c>
      <c r="B23" s="53" t="inlineStr">
        <is>
          <t>R$</t>
        </is>
      </c>
      <c r="C23" s="58" t="n">
        <v>0</v>
      </c>
      <c r="D23" s="58">
        <f>D13*Premissas!$C$24</f>
        <v/>
      </c>
      <c r="E23" s="58">
        <f>E13*Premissas!$C$24</f>
        <v/>
      </c>
      <c r="F23" s="58">
        <f>F13*Premissas!$C$24</f>
        <v/>
      </c>
      <c r="G23" s="58">
        <f>G13*Premissas!$C$24</f>
        <v/>
      </c>
      <c r="H23" s="58">
        <f>H13*Premissas!$C$24</f>
        <v/>
      </c>
      <c r="I23" s="58">
        <f>I13*Premissas!$C$24</f>
        <v/>
      </c>
      <c r="J23" s="58">
        <f>J13*Premissas!$C$24</f>
        <v/>
      </c>
      <c r="K23" s="58">
        <f>K13*Premissas!$C$24</f>
        <v/>
      </c>
      <c r="L23" s="58">
        <f>L13*Premissas!$C$24</f>
        <v/>
      </c>
      <c r="M23" s="58">
        <f>M13*Premissas!$C$24</f>
        <v/>
      </c>
      <c r="N23" s="58">
        <f>N13*Premissas!$C$24</f>
        <v/>
      </c>
      <c r="O23" s="58">
        <f>O13*Premissas!$C$24</f>
        <v/>
      </c>
      <c r="P23" s="58">
        <f>P13*Premissas!$C$24</f>
        <v/>
      </c>
      <c r="Q23" s="58">
        <f>Q13*Premissas!$C$24</f>
        <v/>
      </c>
      <c r="R23" s="58">
        <f>R13*Premissas!$C$24</f>
        <v/>
      </c>
      <c r="S23" s="58">
        <f>S13*Premissas!$C$24</f>
        <v/>
      </c>
      <c r="T23" s="58">
        <f>T13*Premissas!$C$24</f>
        <v/>
      </c>
      <c r="U23" s="58">
        <f>U13*Premissas!$C$24</f>
        <v/>
      </c>
      <c r="V23" s="58">
        <f>V13*Premissas!$C$24</f>
        <v/>
      </c>
      <c r="W23" s="58">
        <f>W13*Premissas!$C$24</f>
        <v/>
      </c>
      <c r="X23" s="58">
        <f>X13*Premissas!$C$24</f>
        <v/>
      </c>
      <c r="Y23" s="58">
        <f>Y13*Premissas!$C$24</f>
        <v/>
      </c>
      <c r="Z23" s="58">
        <f>Z13*Premissas!$C$24</f>
        <v/>
      </c>
      <c r="AA23" s="58">
        <f>AA13*Premissas!$C$24</f>
        <v/>
      </c>
      <c r="AB23" s="58">
        <f>AB13*Premissas!$C$24</f>
        <v/>
      </c>
      <c r="AC23" s="58">
        <f>AC13*Premissas!$C$24</f>
        <v/>
      </c>
      <c r="AD23" s="58">
        <f>AD13*Premissas!$C$24</f>
        <v/>
      </c>
      <c r="AE23" s="58">
        <f>AE13*Premissas!$C$24</f>
        <v/>
      </c>
      <c r="AF23" s="58">
        <f>AF13*Premissas!$C$24</f>
        <v/>
      </c>
      <c r="AG23" s="58">
        <f>AG13*Premissas!$C$24</f>
        <v/>
      </c>
      <c r="AH23" s="58">
        <f>AH13*Premissas!$C$24</f>
        <v/>
      </c>
      <c r="AI23" s="58">
        <f>AI13*Premissas!$C$24</f>
        <v/>
      </c>
      <c r="AJ23" s="58">
        <f>AJ13*Premissas!$C$24</f>
        <v/>
      </c>
      <c r="AK23" s="58">
        <f>AK13*Premissas!$C$24</f>
        <v/>
      </c>
      <c r="AL23" s="58">
        <f>AL13*Premissas!$C$24</f>
        <v/>
      </c>
      <c r="AM23" s="58">
        <f>AM13*Premissas!$C$24</f>
        <v/>
      </c>
      <c r="AN23" s="58">
        <f>AN13*Premissas!$C$24</f>
        <v/>
      </c>
      <c r="AO23" s="58">
        <f>AO13*Premissas!$C$24</f>
        <v/>
      </c>
      <c r="AP23" s="58">
        <f>AP13*Premissas!$C$24</f>
        <v/>
      </c>
      <c r="AQ23" s="58">
        <f>AQ13*Premissas!$C$24</f>
        <v/>
      </c>
      <c r="AR23" s="58">
        <f>AR13*Premissas!$C$24</f>
        <v/>
      </c>
      <c r="AS23" s="58">
        <f>AS13*Premissas!$C$24</f>
        <v/>
      </c>
      <c r="AT23" s="58">
        <f>AT13*Premissas!$C$24</f>
        <v/>
      </c>
      <c r="AU23" s="58">
        <f>AU13*Premissas!$C$24</f>
        <v/>
      </c>
      <c r="AV23" s="58">
        <f>AV13*Premissas!$C$24</f>
        <v/>
      </c>
      <c r="AW23" s="58">
        <f>AW13*Premissas!$C$24</f>
        <v/>
      </c>
      <c r="AX23" s="58">
        <f>AX13*Premissas!$C$24</f>
        <v/>
      </c>
      <c r="AY23" s="58">
        <f>AY13*Premissas!$C$24</f>
        <v/>
      </c>
      <c r="AZ23" s="58">
        <f>AZ13*Premissas!$C$24</f>
        <v/>
      </c>
      <c r="BA23" s="58">
        <f>BA13*Premissas!$C$24</f>
        <v/>
      </c>
      <c r="BB23" s="58">
        <f>BB13*Premissas!$C$24</f>
        <v/>
      </c>
      <c r="BC23" s="58">
        <f>BC13*Premissas!$C$24</f>
        <v/>
      </c>
      <c r="BD23" s="58">
        <f>BD13*Premissas!$C$24</f>
        <v/>
      </c>
      <c r="BE23" s="58">
        <f>BE13*Premissas!$C$24</f>
        <v/>
      </c>
      <c r="BF23" s="58">
        <f>BF13*Premissas!$C$24</f>
        <v/>
      </c>
      <c r="BG23" s="58">
        <f>BG13*Premissas!$C$24</f>
        <v/>
      </c>
      <c r="BH23" s="58">
        <f>BH13*Premissas!$C$24</f>
        <v/>
      </c>
      <c r="BI23" s="58">
        <f>BI13*Premissas!$C$24</f>
        <v/>
      </c>
      <c r="BJ23" s="58">
        <f>BJ13*Premissas!$C$24</f>
        <v/>
      </c>
      <c r="BK23" s="58">
        <f>BK13*Premissas!$C$24</f>
        <v/>
      </c>
    </row>
    <row r="24" ht="15" customHeight="1" s="35">
      <c r="A24" s="47" t="inlineStr">
        <is>
          <t>RECEITA TOTAL (R$)</t>
        </is>
      </c>
      <c r="B24" s="53" t="inlineStr">
        <is>
          <t>R$</t>
        </is>
      </c>
      <c r="C24" s="59" t="n">
        <v>0</v>
      </c>
      <c r="D24" s="59">
        <f>D17+D18+D21+D22+D23</f>
        <v/>
      </c>
      <c r="E24" s="59">
        <f>E17+E18+E21+E22+E23</f>
        <v/>
      </c>
      <c r="F24" s="59">
        <f>F17+F18+F21+F22+F23</f>
        <v/>
      </c>
      <c r="G24" s="59">
        <f>G17+G18+G21+G22+G23</f>
        <v/>
      </c>
      <c r="H24" s="59">
        <f>H17+H18+H21+H22+H23</f>
        <v/>
      </c>
      <c r="I24" s="59">
        <f>I17+I18+I21+I22+I23</f>
        <v/>
      </c>
      <c r="J24" s="59">
        <f>J17+J18+J21+J22+J23</f>
        <v/>
      </c>
      <c r="K24" s="59">
        <f>K17+K18+K21+K22+K23</f>
        <v/>
      </c>
      <c r="L24" s="59">
        <f>L17+L18+L21+L22+L23</f>
        <v/>
      </c>
      <c r="M24" s="59">
        <f>M17+M18+M21+M22+M23</f>
        <v/>
      </c>
      <c r="N24" s="59">
        <f>N17+N18+N21+N22+N23</f>
        <v/>
      </c>
      <c r="O24" s="59">
        <f>O17+O18+O21+O22+O23</f>
        <v/>
      </c>
      <c r="P24" s="59">
        <f>P17+P18+P21+P22+P23</f>
        <v/>
      </c>
      <c r="Q24" s="59">
        <f>Q17+Q18+Q21+Q22+Q23</f>
        <v/>
      </c>
      <c r="R24" s="59">
        <f>R17+R18+R21+R22+R23</f>
        <v/>
      </c>
      <c r="S24" s="59">
        <f>S17+S18+S21+S22+S23</f>
        <v/>
      </c>
      <c r="T24" s="59">
        <f>T17+T18+T21+T22+T23</f>
        <v/>
      </c>
      <c r="U24" s="59">
        <f>U17+U18+U21+U22+U23</f>
        <v/>
      </c>
      <c r="V24" s="59">
        <f>V17+V18+V21+V22+V23</f>
        <v/>
      </c>
      <c r="W24" s="59">
        <f>W17+W18+W21+W22+W23</f>
        <v/>
      </c>
      <c r="X24" s="59">
        <f>X17+X18+X21+X22+X23</f>
        <v/>
      </c>
      <c r="Y24" s="59">
        <f>Y17+Y18+Y21+Y22+Y23</f>
        <v/>
      </c>
      <c r="Z24" s="59">
        <f>Z17+Z18+Z21+Z22+Z23</f>
        <v/>
      </c>
      <c r="AA24" s="59">
        <f>AA17+AA18+AA21+AA22+AA23</f>
        <v/>
      </c>
      <c r="AB24" s="59">
        <f>AB17+AB18+AB21+AB22+AB23</f>
        <v/>
      </c>
      <c r="AC24" s="59">
        <f>AC17+AC18+AC21+AC22+AC23</f>
        <v/>
      </c>
      <c r="AD24" s="59">
        <f>AD17+AD18+AD21+AD22+AD23</f>
        <v/>
      </c>
      <c r="AE24" s="59">
        <f>AE17+AE18+AE21+AE22+AE23</f>
        <v/>
      </c>
      <c r="AF24" s="59">
        <f>AF17+AF18+AF21+AF22+AF23</f>
        <v/>
      </c>
      <c r="AG24" s="59">
        <f>AG17+AG18+AG21+AG22+AG23</f>
        <v/>
      </c>
      <c r="AH24" s="59">
        <f>AH17+AH18+AH21+AH22+AH23</f>
        <v/>
      </c>
      <c r="AI24" s="59">
        <f>AI17+AI18+AI21+AI22+AI23</f>
        <v/>
      </c>
      <c r="AJ24" s="59">
        <f>AJ17+AJ18+AJ21+AJ22+AJ23</f>
        <v/>
      </c>
      <c r="AK24" s="59">
        <f>AK17+AK18+AK21+AK22+AK23</f>
        <v/>
      </c>
      <c r="AL24" s="59">
        <f>AL17+AL18+AL21+AL22+AL23</f>
        <v/>
      </c>
      <c r="AM24" s="59">
        <f>AM17+AM18+AM21+AM22+AM23</f>
        <v/>
      </c>
      <c r="AN24" s="59">
        <f>AN17+AN18+AN21+AN22+AN23</f>
        <v/>
      </c>
      <c r="AO24" s="59">
        <f>AO17+AO18+AO21+AO22+AO23</f>
        <v/>
      </c>
      <c r="AP24" s="59">
        <f>AP17+AP18+AP21+AP22+AP23</f>
        <v/>
      </c>
      <c r="AQ24" s="59">
        <f>AQ17+AQ18+AQ21+AQ22+AQ23</f>
        <v/>
      </c>
      <c r="AR24" s="59">
        <f>AR17+AR18+AR21+AR22+AR23</f>
        <v/>
      </c>
      <c r="AS24" s="59">
        <f>AS17+AS18+AS21+AS22+AS23</f>
        <v/>
      </c>
      <c r="AT24" s="59">
        <f>AT17+AT18+AT21+AT22+AT23</f>
        <v/>
      </c>
      <c r="AU24" s="59">
        <f>AU17+AU18+AU21+AU22+AU23</f>
        <v/>
      </c>
      <c r="AV24" s="59">
        <f>AV17+AV18+AV21+AV22+AV23</f>
        <v/>
      </c>
      <c r="AW24" s="59">
        <f>AW17+AW18+AW21+AW22+AW23</f>
        <v/>
      </c>
      <c r="AX24" s="59">
        <f>AX17+AX18+AX21+AX22+AX23</f>
        <v/>
      </c>
      <c r="AY24" s="59">
        <f>AY17+AY18+AY21+AY22+AY23</f>
        <v/>
      </c>
      <c r="AZ24" s="59">
        <f>AZ17+AZ18+AZ21+AZ22+AZ23</f>
        <v/>
      </c>
      <c r="BA24" s="59">
        <f>BA17+BA18+BA21+BA22+BA23</f>
        <v/>
      </c>
      <c r="BB24" s="59">
        <f>BB17+BB18+BB21+BB22+BB23</f>
        <v/>
      </c>
      <c r="BC24" s="59">
        <f>BC17+BC18+BC21+BC22+BC23</f>
        <v/>
      </c>
      <c r="BD24" s="59">
        <f>BD17+BD18+BD21+BD22+BD23</f>
        <v/>
      </c>
      <c r="BE24" s="59">
        <f>BE17+BE18+BE21+BE22+BE23</f>
        <v/>
      </c>
      <c r="BF24" s="59">
        <f>BF17+BF18+BF21+BF22+BF23</f>
        <v/>
      </c>
      <c r="BG24" s="59">
        <f>BG17+BG18+BG21+BG22+BG23</f>
        <v/>
      </c>
      <c r="BH24" s="59">
        <f>BH17+BH18+BH21+BH22+BH23</f>
        <v/>
      </c>
      <c r="BI24" s="59">
        <f>BI17+BI18+BI21+BI22+BI23</f>
        <v/>
      </c>
      <c r="BJ24" s="59">
        <f>BJ17+BJ18+BJ21+BJ22+BJ23</f>
        <v/>
      </c>
      <c r="BK24" s="59">
        <f>BK17+BK18+BK21+BK22+BK23</f>
        <v/>
      </c>
    </row>
    <row r="26" ht="15" customHeight="1" s="35">
      <c r="A26" s="46" t="inlineStr">
        <is>
          <t>── CUSTOS ──</t>
        </is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42" t="n"/>
      <c r="AV26" s="42" t="n"/>
      <c r="AW26" s="42" t="n"/>
      <c r="AX26" s="42" t="n"/>
      <c r="AY26" s="42" t="n"/>
      <c r="AZ26" s="42" t="n"/>
      <c r="BA26" s="42" t="n"/>
      <c r="BB26" s="42" t="n"/>
      <c r="BC26" s="42" t="n"/>
      <c r="BD26" s="42" t="n"/>
      <c r="BE26" s="42" t="n"/>
      <c r="BF26" s="42" t="n"/>
      <c r="BG26" s="42" t="n"/>
      <c r="BH26" s="42" t="n"/>
      <c r="BI26" s="42" t="n"/>
      <c r="BJ26" s="42" t="n"/>
      <c r="BK26" s="42" t="n"/>
    </row>
    <row r="27" ht="15" customHeight="1" s="35">
      <c r="A27" s="43" t="inlineStr">
        <is>
          <t>Custo de infraestrutura variável (R$)</t>
        </is>
      </c>
      <c r="B27" s="53" t="inlineStr">
        <is>
          <t>R$</t>
        </is>
      </c>
      <c r="C27" s="58" t="n">
        <v>0</v>
      </c>
      <c r="D27" s="58">
        <f>CEILING(D15/Premissas!$C$36,1)*Premissas!$C$35</f>
        <v/>
      </c>
      <c r="E27" s="58">
        <f>CEILING(E15/Premissas!$C$36,1)*Premissas!$C$35</f>
        <v/>
      </c>
      <c r="F27" s="58">
        <f>CEILING(F15/Premissas!$C$36,1)*Premissas!$C$35</f>
        <v/>
      </c>
      <c r="G27" s="58">
        <f>CEILING(G15/Premissas!$C$36,1)*Premissas!$C$35</f>
        <v/>
      </c>
      <c r="H27" s="58">
        <f>CEILING(H15/Premissas!$C$36,1)*Premissas!$C$35</f>
        <v/>
      </c>
      <c r="I27" s="58">
        <f>CEILING(I15/Premissas!$C$36,1)*Premissas!$C$35</f>
        <v/>
      </c>
      <c r="J27" s="58">
        <f>CEILING(J15/Premissas!$C$36,1)*Premissas!$C$35</f>
        <v/>
      </c>
      <c r="K27" s="58">
        <f>CEILING(K15/Premissas!$C$36,1)*Premissas!$C$35</f>
        <v/>
      </c>
      <c r="L27" s="58">
        <f>CEILING(L15/Premissas!$C$36,1)*Premissas!$C$35</f>
        <v/>
      </c>
      <c r="M27" s="58">
        <f>CEILING(M15/Premissas!$C$36,1)*Premissas!$C$35</f>
        <v/>
      </c>
      <c r="N27" s="58">
        <f>CEILING(N15/Premissas!$C$36,1)*Premissas!$C$35</f>
        <v/>
      </c>
      <c r="O27" s="58">
        <f>CEILING(O15/Premissas!$C$36,1)*Premissas!$C$35</f>
        <v/>
      </c>
      <c r="P27" s="58">
        <f>CEILING(P15/Premissas!$C$36,1)*Premissas!$C$35</f>
        <v/>
      </c>
      <c r="Q27" s="58">
        <f>CEILING(Q15/Premissas!$C$36,1)*Premissas!$C$35</f>
        <v/>
      </c>
      <c r="R27" s="58">
        <f>CEILING(R15/Premissas!$C$36,1)*Premissas!$C$35</f>
        <v/>
      </c>
      <c r="S27" s="58">
        <f>CEILING(S15/Premissas!$C$36,1)*Premissas!$C$35</f>
        <v/>
      </c>
      <c r="T27" s="58">
        <f>CEILING(T15/Premissas!$C$36,1)*Premissas!$C$35</f>
        <v/>
      </c>
      <c r="U27" s="58">
        <f>CEILING(U15/Premissas!$C$36,1)*Premissas!$C$35</f>
        <v/>
      </c>
      <c r="V27" s="58">
        <f>CEILING(V15/Premissas!$C$36,1)*Premissas!$C$35</f>
        <v/>
      </c>
      <c r="W27" s="58">
        <f>CEILING(W15/Premissas!$C$36,1)*Premissas!$C$35</f>
        <v/>
      </c>
      <c r="X27" s="58">
        <f>CEILING(X15/Premissas!$C$36,1)*Premissas!$C$35</f>
        <v/>
      </c>
      <c r="Y27" s="58">
        <f>CEILING(Y15/Premissas!$C$36,1)*Premissas!$C$35</f>
        <v/>
      </c>
      <c r="Z27" s="58">
        <f>CEILING(Z15/Premissas!$C$36,1)*Premissas!$C$35</f>
        <v/>
      </c>
      <c r="AA27" s="58">
        <f>CEILING(AA15/Premissas!$C$36,1)*Premissas!$C$35</f>
        <v/>
      </c>
      <c r="AB27" s="58">
        <f>CEILING(AB15/Premissas!$C$36,1)*Premissas!$C$35</f>
        <v/>
      </c>
      <c r="AC27" s="58">
        <f>CEILING(AC15/Premissas!$C$36,1)*Premissas!$C$35</f>
        <v/>
      </c>
      <c r="AD27" s="58">
        <f>CEILING(AD15/Premissas!$C$36,1)*Premissas!$C$35</f>
        <v/>
      </c>
      <c r="AE27" s="58">
        <f>CEILING(AE15/Premissas!$C$36,1)*Premissas!$C$35</f>
        <v/>
      </c>
      <c r="AF27" s="58">
        <f>CEILING(AF15/Premissas!$C$36,1)*Premissas!$C$35</f>
        <v/>
      </c>
      <c r="AG27" s="58">
        <f>CEILING(AG15/Premissas!$C$36,1)*Premissas!$C$35</f>
        <v/>
      </c>
      <c r="AH27" s="58">
        <f>CEILING(AH15/Premissas!$C$36,1)*Premissas!$C$35</f>
        <v/>
      </c>
      <c r="AI27" s="58">
        <f>CEILING(AI15/Premissas!$C$36,1)*Premissas!$C$35</f>
        <v/>
      </c>
      <c r="AJ27" s="58">
        <f>CEILING(AJ15/Premissas!$C$36,1)*Premissas!$C$35</f>
        <v/>
      </c>
      <c r="AK27" s="58">
        <f>CEILING(AK15/Premissas!$C$36,1)*Premissas!$C$35</f>
        <v/>
      </c>
      <c r="AL27" s="58">
        <f>CEILING(AL15/Premissas!$C$36,1)*Premissas!$C$35</f>
        <v/>
      </c>
      <c r="AM27" s="58">
        <f>CEILING(AM15/Premissas!$C$36,1)*Premissas!$C$35</f>
        <v/>
      </c>
      <c r="AN27" s="58">
        <f>CEILING(AN15/Premissas!$C$36,1)*Premissas!$C$35</f>
        <v/>
      </c>
      <c r="AO27" s="58">
        <f>CEILING(AO15/Premissas!$C$36,1)*Premissas!$C$35</f>
        <v/>
      </c>
      <c r="AP27" s="58">
        <f>CEILING(AP15/Premissas!$C$36,1)*Premissas!$C$35</f>
        <v/>
      </c>
      <c r="AQ27" s="58">
        <f>CEILING(AQ15/Premissas!$C$36,1)*Premissas!$C$35</f>
        <v/>
      </c>
      <c r="AR27" s="58">
        <f>CEILING(AR15/Premissas!$C$36,1)*Premissas!$C$35</f>
        <v/>
      </c>
      <c r="AS27" s="58">
        <f>CEILING(AS15/Premissas!$C$36,1)*Premissas!$C$35</f>
        <v/>
      </c>
      <c r="AT27" s="58">
        <f>CEILING(AT15/Premissas!$C$36,1)*Premissas!$C$35</f>
        <v/>
      </c>
      <c r="AU27" s="58">
        <f>CEILING(AU15/Premissas!$C$36,1)*Premissas!$C$35</f>
        <v/>
      </c>
      <c r="AV27" s="58">
        <f>CEILING(AV15/Premissas!$C$36,1)*Premissas!$C$35</f>
        <v/>
      </c>
      <c r="AW27" s="58">
        <f>CEILING(AW15/Premissas!$C$36,1)*Premissas!$C$35</f>
        <v/>
      </c>
      <c r="AX27" s="58">
        <f>CEILING(AX15/Premissas!$C$36,1)*Premissas!$C$35</f>
        <v/>
      </c>
      <c r="AY27" s="58">
        <f>CEILING(AY15/Premissas!$C$36,1)*Premissas!$C$35</f>
        <v/>
      </c>
      <c r="AZ27" s="58">
        <f>CEILING(AZ15/Premissas!$C$36,1)*Premissas!$C$35</f>
        <v/>
      </c>
      <c r="BA27" s="58">
        <f>CEILING(BA15/Premissas!$C$36,1)*Premissas!$C$35</f>
        <v/>
      </c>
      <c r="BB27" s="58">
        <f>CEILING(BB15/Premissas!$C$36,1)*Premissas!$C$35</f>
        <v/>
      </c>
      <c r="BC27" s="58">
        <f>CEILING(BC15/Premissas!$C$36,1)*Premissas!$C$35</f>
        <v/>
      </c>
      <c r="BD27" s="58">
        <f>CEILING(BD15/Premissas!$C$36,1)*Premissas!$C$35</f>
        <v/>
      </c>
      <c r="BE27" s="58">
        <f>CEILING(BE15/Premissas!$C$36,1)*Premissas!$C$35</f>
        <v/>
      </c>
      <c r="BF27" s="58">
        <f>CEILING(BF15/Premissas!$C$36,1)*Premissas!$C$35</f>
        <v/>
      </c>
      <c r="BG27" s="58">
        <f>CEILING(BG15/Premissas!$C$36,1)*Premissas!$C$35</f>
        <v/>
      </c>
      <c r="BH27" s="58">
        <f>CEILING(BH15/Premissas!$C$36,1)*Premissas!$C$35</f>
        <v/>
      </c>
      <c r="BI27" s="58">
        <f>CEILING(BI15/Premissas!$C$36,1)*Premissas!$C$35</f>
        <v/>
      </c>
      <c r="BJ27" s="58">
        <f>CEILING(BJ15/Premissas!$C$36,1)*Premissas!$C$35</f>
        <v/>
      </c>
      <c r="BK27" s="58">
        <f>CEILING(BK15/Premissas!$C$36,1)*Premissas!$C$35</f>
        <v/>
      </c>
    </row>
    <row r="28" ht="15" customHeight="1" s="35">
      <c r="A28" s="43" t="inlineStr">
        <is>
          <t>Custo de equipe (R$)</t>
        </is>
      </c>
      <c r="B28" s="53" t="inlineStr">
        <is>
          <t>R$</t>
        </is>
      </c>
      <c r="C28" s="58" t="n">
        <v>0</v>
      </c>
      <c r="D28" s="58">
        <f>ROUNDUP(D13/Premissas!$C$29,0)*Premissas!$C$30</f>
        <v/>
      </c>
      <c r="E28" s="58">
        <f>ROUNDUP(E13/Premissas!$C$29,0)*Premissas!$C$30</f>
        <v/>
      </c>
      <c r="F28" s="58">
        <f>ROUNDUP(F13/Premissas!$C$29,0)*Premissas!$C$30</f>
        <v/>
      </c>
      <c r="G28" s="58">
        <f>ROUNDUP(G13/Premissas!$C$29,0)*Premissas!$C$30</f>
        <v/>
      </c>
      <c r="H28" s="58">
        <f>ROUNDUP(H13/Premissas!$C$29,0)*Premissas!$C$30</f>
        <v/>
      </c>
      <c r="I28" s="58">
        <f>ROUNDUP(I13/Premissas!$C$29,0)*Premissas!$C$30</f>
        <v/>
      </c>
      <c r="J28" s="58">
        <f>ROUNDUP(J13/Premissas!$C$29,0)*Premissas!$C$30</f>
        <v/>
      </c>
      <c r="K28" s="58">
        <f>ROUNDUP(K13/Premissas!$C$29,0)*Premissas!$C$30</f>
        <v/>
      </c>
      <c r="L28" s="58">
        <f>ROUNDUP(L13/Premissas!$C$29,0)*Premissas!$C$30</f>
        <v/>
      </c>
      <c r="M28" s="58">
        <f>ROUNDUP(M13/Premissas!$C$29,0)*Premissas!$C$30</f>
        <v/>
      </c>
      <c r="N28" s="58">
        <f>ROUNDUP(N13/Premissas!$C$29,0)*Premissas!$C$30</f>
        <v/>
      </c>
      <c r="O28" s="58">
        <f>ROUNDUP(O13/Premissas!$C$29,0)*Premissas!$C$30</f>
        <v/>
      </c>
      <c r="P28" s="58">
        <f>ROUNDUP(P13/Premissas!$C$29,0)*Premissas!$C$30</f>
        <v/>
      </c>
      <c r="Q28" s="58">
        <f>ROUNDUP(Q13/Premissas!$C$29,0)*Premissas!$C$30</f>
        <v/>
      </c>
      <c r="R28" s="58">
        <f>ROUNDUP(R13/Premissas!$C$29,0)*Premissas!$C$30</f>
        <v/>
      </c>
      <c r="S28" s="58">
        <f>ROUNDUP(S13/Premissas!$C$29,0)*Premissas!$C$30</f>
        <v/>
      </c>
      <c r="T28" s="58">
        <f>ROUNDUP(T13/Premissas!$C$29,0)*Premissas!$C$30</f>
        <v/>
      </c>
      <c r="U28" s="58">
        <f>ROUNDUP(U13/Premissas!$C$29,0)*Premissas!$C$30</f>
        <v/>
      </c>
      <c r="V28" s="58">
        <f>ROUNDUP(V13/Premissas!$C$29,0)*Premissas!$C$30</f>
        <v/>
      </c>
      <c r="W28" s="58">
        <f>ROUNDUP(W13/Premissas!$C$29,0)*Premissas!$C$30</f>
        <v/>
      </c>
      <c r="X28" s="58">
        <f>ROUNDUP(X13/Premissas!$C$29,0)*Premissas!$C$30</f>
        <v/>
      </c>
      <c r="Y28" s="58">
        <f>ROUNDUP(Y13/Premissas!$C$29,0)*Premissas!$C$30</f>
        <v/>
      </c>
      <c r="Z28" s="58">
        <f>ROUNDUP(Z13/Premissas!$C$29,0)*Premissas!$C$30</f>
        <v/>
      </c>
      <c r="AA28" s="58">
        <f>ROUNDUP(AA13/Premissas!$C$29,0)*Premissas!$C$30</f>
        <v/>
      </c>
      <c r="AB28" s="58">
        <f>ROUNDUP(AB13/Premissas!$C$29,0)*Premissas!$C$30</f>
        <v/>
      </c>
      <c r="AC28" s="58">
        <f>ROUNDUP(AC13/Premissas!$C$29,0)*Premissas!$C$30</f>
        <v/>
      </c>
      <c r="AD28" s="58">
        <f>ROUNDUP(AD13/Premissas!$C$29,0)*Premissas!$C$30</f>
        <v/>
      </c>
      <c r="AE28" s="58">
        <f>ROUNDUP(AE13/Premissas!$C$29,0)*Premissas!$C$30</f>
        <v/>
      </c>
      <c r="AF28" s="58">
        <f>ROUNDUP(AF13/Premissas!$C$29,0)*Premissas!$C$30</f>
        <v/>
      </c>
      <c r="AG28" s="58">
        <f>ROUNDUP(AG13/Premissas!$C$29,0)*Premissas!$C$30</f>
        <v/>
      </c>
      <c r="AH28" s="58">
        <f>ROUNDUP(AH13/Premissas!$C$29,0)*Premissas!$C$30</f>
        <v/>
      </c>
      <c r="AI28" s="58">
        <f>ROUNDUP(AI13/Premissas!$C$29,0)*Premissas!$C$30</f>
        <v/>
      </c>
      <c r="AJ28" s="58">
        <f>ROUNDUP(AJ13/Premissas!$C$29,0)*Premissas!$C$30</f>
        <v/>
      </c>
      <c r="AK28" s="58">
        <f>ROUNDUP(AK13/Premissas!$C$29,0)*Premissas!$C$30</f>
        <v/>
      </c>
      <c r="AL28" s="58">
        <f>ROUNDUP(AL13/Premissas!$C$29,0)*Premissas!$C$30</f>
        <v/>
      </c>
      <c r="AM28" s="58">
        <f>ROUNDUP(AM13/Premissas!$C$29,0)*Premissas!$C$30</f>
        <v/>
      </c>
      <c r="AN28" s="58">
        <f>ROUNDUP(AN13/Premissas!$C$29,0)*Premissas!$C$30</f>
        <v/>
      </c>
      <c r="AO28" s="58">
        <f>ROUNDUP(AO13/Premissas!$C$29,0)*Premissas!$C$30</f>
        <v/>
      </c>
      <c r="AP28" s="58">
        <f>ROUNDUP(AP13/Premissas!$C$29,0)*Premissas!$C$30</f>
        <v/>
      </c>
      <c r="AQ28" s="58">
        <f>ROUNDUP(AQ13/Premissas!$C$29,0)*Premissas!$C$30</f>
        <v/>
      </c>
      <c r="AR28" s="58">
        <f>ROUNDUP(AR13/Premissas!$C$29,0)*Premissas!$C$30</f>
        <v/>
      </c>
      <c r="AS28" s="58">
        <f>ROUNDUP(AS13/Premissas!$C$29,0)*Premissas!$C$30</f>
        <v/>
      </c>
      <c r="AT28" s="58">
        <f>ROUNDUP(AT13/Premissas!$C$29,0)*Premissas!$C$30</f>
        <v/>
      </c>
      <c r="AU28" s="58">
        <f>ROUNDUP(AU13/Premissas!$C$29,0)*Premissas!$C$30</f>
        <v/>
      </c>
      <c r="AV28" s="58">
        <f>ROUNDUP(AV13/Premissas!$C$29,0)*Premissas!$C$30</f>
        <v/>
      </c>
      <c r="AW28" s="58">
        <f>ROUNDUP(AW13/Premissas!$C$29,0)*Premissas!$C$30</f>
        <v/>
      </c>
      <c r="AX28" s="58">
        <f>ROUNDUP(AX13/Premissas!$C$29,0)*Premissas!$C$30</f>
        <v/>
      </c>
      <c r="AY28" s="58">
        <f>ROUNDUP(AY13/Premissas!$C$29,0)*Premissas!$C$30</f>
        <v/>
      </c>
      <c r="AZ28" s="58">
        <f>ROUNDUP(AZ13/Premissas!$C$29,0)*Premissas!$C$30</f>
        <v/>
      </c>
      <c r="BA28" s="58">
        <f>ROUNDUP(BA13/Premissas!$C$29,0)*Premissas!$C$30</f>
        <v/>
      </c>
      <c r="BB28" s="58">
        <f>ROUNDUP(BB13/Premissas!$C$29,0)*Premissas!$C$30</f>
        <v/>
      </c>
      <c r="BC28" s="58">
        <f>ROUNDUP(BC13/Premissas!$C$29,0)*Premissas!$C$30</f>
        <v/>
      </c>
      <c r="BD28" s="58">
        <f>ROUNDUP(BD13/Premissas!$C$29,0)*Premissas!$C$30</f>
        <v/>
      </c>
      <c r="BE28" s="58">
        <f>ROUNDUP(BE13/Premissas!$C$29,0)*Premissas!$C$30</f>
        <v/>
      </c>
      <c r="BF28" s="58">
        <f>ROUNDUP(BF13/Premissas!$C$29,0)*Premissas!$C$30</f>
        <v/>
      </c>
      <c r="BG28" s="58">
        <f>ROUNDUP(BG13/Premissas!$C$29,0)*Premissas!$C$30</f>
        <v/>
      </c>
      <c r="BH28" s="58">
        <f>ROUNDUP(BH13/Premissas!$C$29,0)*Premissas!$C$30</f>
        <v/>
      </c>
      <c r="BI28" s="58">
        <f>ROUNDUP(BI13/Premissas!$C$29,0)*Premissas!$C$30</f>
        <v/>
      </c>
      <c r="BJ28" s="58">
        <f>ROUNDUP(BJ13/Premissas!$C$29,0)*Premissas!$C$30</f>
        <v/>
      </c>
      <c r="BK28" s="58">
        <f>ROUNDUP(BK13/Premissas!$C$29,0)*Premissas!$C$30</f>
        <v/>
      </c>
    </row>
    <row r="29" ht="15" customHeight="1" s="35">
      <c r="A29" s="43" t="inlineStr">
        <is>
          <t>CAC do mês — aquisição de novos cadastros (R$)</t>
        </is>
      </c>
      <c r="B29" s="53" t="inlineStr">
        <is>
          <t>R$</t>
        </is>
      </c>
      <c r="C29" s="58" t="n">
        <v>0</v>
      </c>
      <c r="D29" s="58">
        <f>D6*Premissas!$C$27</f>
        <v/>
      </c>
      <c r="E29" s="58">
        <f>E6*Premissas!$C$27</f>
        <v/>
      </c>
      <c r="F29" s="58">
        <f>F6*Premissas!$C$27</f>
        <v/>
      </c>
      <c r="G29" s="58">
        <f>G6*Premissas!$C$27</f>
        <v/>
      </c>
      <c r="H29" s="58">
        <f>H6*Premissas!$C$27</f>
        <v/>
      </c>
      <c r="I29" s="58">
        <f>I6*Premissas!$C$27</f>
        <v/>
      </c>
      <c r="J29" s="58">
        <f>J6*Premissas!$C$27</f>
        <v/>
      </c>
      <c r="K29" s="58">
        <f>K6*Premissas!$C$27</f>
        <v/>
      </c>
      <c r="L29" s="58">
        <f>L6*Premissas!$C$27</f>
        <v/>
      </c>
      <c r="M29" s="58">
        <f>M6*Premissas!$C$27</f>
        <v/>
      </c>
      <c r="N29" s="58">
        <f>N6*Premissas!$C$27</f>
        <v/>
      </c>
      <c r="O29" s="58">
        <f>O6*Premissas!$C$27</f>
        <v/>
      </c>
      <c r="P29" s="58">
        <f>P6*Premissas!$C$27</f>
        <v/>
      </c>
      <c r="Q29" s="58">
        <f>Q6*Premissas!$C$27</f>
        <v/>
      </c>
      <c r="R29" s="58">
        <f>R6*Premissas!$C$27</f>
        <v/>
      </c>
      <c r="S29" s="58">
        <f>S6*Premissas!$C$27</f>
        <v/>
      </c>
      <c r="T29" s="58">
        <f>T6*Premissas!$C$27</f>
        <v/>
      </c>
      <c r="U29" s="58">
        <f>U6*Premissas!$C$27</f>
        <v/>
      </c>
      <c r="V29" s="58">
        <f>V6*Premissas!$C$27</f>
        <v/>
      </c>
      <c r="W29" s="58">
        <f>W6*Premissas!$C$27</f>
        <v/>
      </c>
      <c r="X29" s="58">
        <f>X6*Premissas!$C$27</f>
        <v/>
      </c>
      <c r="Y29" s="58">
        <f>Y6*Premissas!$C$27</f>
        <v/>
      </c>
      <c r="Z29" s="58">
        <f>Z6*Premissas!$C$27</f>
        <v/>
      </c>
      <c r="AA29" s="58">
        <f>AA6*Premissas!$C$27</f>
        <v/>
      </c>
      <c r="AB29" s="58">
        <f>AB6*Premissas!$C$27</f>
        <v/>
      </c>
      <c r="AC29" s="58">
        <f>AC6*Premissas!$C$27</f>
        <v/>
      </c>
      <c r="AD29" s="58">
        <f>AD6*Premissas!$C$27</f>
        <v/>
      </c>
      <c r="AE29" s="58">
        <f>AE6*Premissas!$C$27</f>
        <v/>
      </c>
      <c r="AF29" s="58">
        <f>AF6*Premissas!$C$27</f>
        <v/>
      </c>
      <c r="AG29" s="58">
        <f>AG6*Premissas!$C$27</f>
        <v/>
      </c>
      <c r="AH29" s="58">
        <f>AH6*Premissas!$C$27</f>
        <v/>
      </c>
      <c r="AI29" s="58">
        <f>AI6*Premissas!$C$27</f>
        <v/>
      </c>
      <c r="AJ29" s="58">
        <f>AJ6*Premissas!$C$27</f>
        <v/>
      </c>
      <c r="AK29" s="58">
        <f>AK6*Premissas!$C$27</f>
        <v/>
      </c>
      <c r="AL29" s="58">
        <f>AL6*Premissas!$C$27</f>
        <v/>
      </c>
      <c r="AM29" s="58">
        <f>AM6*Premissas!$C$27</f>
        <v/>
      </c>
      <c r="AN29" s="58">
        <f>AN6*Premissas!$C$27</f>
        <v/>
      </c>
      <c r="AO29" s="58">
        <f>AO6*Premissas!$C$27</f>
        <v/>
      </c>
      <c r="AP29" s="58">
        <f>AP6*Premissas!$C$27</f>
        <v/>
      </c>
      <c r="AQ29" s="58">
        <f>AQ6*Premissas!$C$27</f>
        <v/>
      </c>
      <c r="AR29" s="58">
        <f>AR6*Premissas!$C$27</f>
        <v/>
      </c>
      <c r="AS29" s="58">
        <f>AS6*Premissas!$C$27</f>
        <v/>
      </c>
      <c r="AT29" s="58">
        <f>AT6*Premissas!$C$27</f>
        <v/>
      </c>
      <c r="AU29" s="58">
        <f>AU6*Premissas!$C$27</f>
        <v/>
      </c>
      <c r="AV29" s="58">
        <f>AV6*Premissas!$C$27</f>
        <v/>
      </c>
      <c r="AW29" s="58">
        <f>AW6*Premissas!$C$27</f>
        <v/>
      </c>
      <c r="AX29" s="58">
        <f>AX6*Premissas!$C$27</f>
        <v/>
      </c>
      <c r="AY29" s="58">
        <f>AY6*Premissas!$C$27</f>
        <v/>
      </c>
      <c r="AZ29" s="58">
        <f>AZ6*Premissas!$C$27</f>
        <v/>
      </c>
      <c r="BA29" s="58">
        <f>BA6*Premissas!$C$27</f>
        <v/>
      </c>
      <c r="BB29" s="58">
        <f>BB6*Premissas!$C$27</f>
        <v/>
      </c>
      <c r="BC29" s="58">
        <f>BC6*Premissas!$C$27</f>
        <v/>
      </c>
      <c r="BD29" s="58">
        <f>BD6*Premissas!$C$27</f>
        <v/>
      </c>
      <c r="BE29" s="58">
        <f>BE6*Premissas!$C$27</f>
        <v/>
      </c>
      <c r="BF29" s="58">
        <f>BF6*Premissas!$C$27</f>
        <v/>
      </c>
      <c r="BG29" s="58">
        <f>BG6*Premissas!$C$27</f>
        <v/>
      </c>
      <c r="BH29" s="58">
        <f>BH6*Premissas!$C$27</f>
        <v/>
      </c>
      <c r="BI29" s="58">
        <f>BI6*Premissas!$C$27</f>
        <v/>
      </c>
      <c r="BJ29" s="58">
        <f>BJ6*Premissas!$C$27</f>
        <v/>
      </c>
      <c r="BK29" s="58">
        <f>BK6*Premissas!$C$27</f>
        <v/>
      </c>
    </row>
    <row r="30" ht="15" customHeight="1" s="35">
      <c r="A30" s="43" t="inlineStr">
        <is>
          <t>Custos fixos administrativos (R$)</t>
        </is>
      </c>
      <c r="B30" s="53" t="inlineStr">
        <is>
          <t>R$</t>
        </is>
      </c>
      <c r="C30" s="58" t="n">
        <v>0</v>
      </c>
      <c r="D30" s="58">
        <f>Premissas!$C$31</f>
        <v/>
      </c>
      <c r="E30" s="58">
        <f>Premissas!$C$31</f>
        <v/>
      </c>
      <c r="F30" s="58">
        <f>Premissas!$C$31</f>
        <v/>
      </c>
      <c r="G30" s="58">
        <f>Premissas!$C$31</f>
        <v/>
      </c>
      <c r="H30" s="58">
        <f>Premissas!$C$31</f>
        <v/>
      </c>
      <c r="I30" s="58">
        <f>Premissas!$C$31</f>
        <v/>
      </c>
      <c r="J30" s="58">
        <f>Premissas!$C$31</f>
        <v/>
      </c>
      <c r="K30" s="58">
        <f>Premissas!$C$31</f>
        <v/>
      </c>
      <c r="L30" s="58">
        <f>Premissas!$C$31</f>
        <v/>
      </c>
      <c r="M30" s="58">
        <f>Premissas!$C$31</f>
        <v/>
      </c>
      <c r="N30" s="58">
        <f>Premissas!$C$31</f>
        <v/>
      </c>
      <c r="O30" s="58">
        <f>Premissas!$C$31</f>
        <v/>
      </c>
      <c r="P30" s="58">
        <f>Premissas!$C$31</f>
        <v/>
      </c>
      <c r="Q30" s="58">
        <f>Premissas!$C$31</f>
        <v/>
      </c>
      <c r="R30" s="58">
        <f>Premissas!$C$31</f>
        <v/>
      </c>
      <c r="S30" s="58">
        <f>Premissas!$C$31</f>
        <v/>
      </c>
      <c r="T30" s="58">
        <f>Premissas!$C$31</f>
        <v/>
      </c>
      <c r="U30" s="58">
        <f>Premissas!$C$31</f>
        <v/>
      </c>
      <c r="V30" s="58">
        <f>Premissas!$C$31</f>
        <v/>
      </c>
      <c r="W30" s="58">
        <f>Premissas!$C$31</f>
        <v/>
      </c>
      <c r="X30" s="58">
        <f>Premissas!$C$31</f>
        <v/>
      </c>
      <c r="Y30" s="58">
        <f>Premissas!$C$31</f>
        <v/>
      </c>
      <c r="Z30" s="58">
        <f>Premissas!$C$31</f>
        <v/>
      </c>
      <c r="AA30" s="58">
        <f>Premissas!$C$31</f>
        <v/>
      </c>
      <c r="AB30" s="58">
        <f>Premissas!$C$31</f>
        <v/>
      </c>
      <c r="AC30" s="58">
        <f>Premissas!$C$31</f>
        <v/>
      </c>
      <c r="AD30" s="58">
        <f>Premissas!$C$31</f>
        <v/>
      </c>
      <c r="AE30" s="58">
        <f>Premissas!$C$31</f>
        <v/>
      </c>
      <c r="AF30" s="58">
        <f>Premissas!$C$31</f>
        <v/>
      </c>
      <c r="AG30" s="58">
        <f>Premissas!$C$31</f>
        <v/>
      </c>
      <c r="AH30" s="58">
        <f>Premissas!$C$31</f>
        <v/>
      </c>
      <c r="AI30" s="58">
        <f>Premissas!$C$31</f>
        <v/>
      </c>
      <c r="AJ30" s="58">
        <f>Premissas!$C$31</f>
        <v/>
      </c>
      <c r="AK30" s="58">
        <f>Premissas!$C$31</f>
        <v/>
      </c>
      <c r="AL30" s="58">
        <f>Premissas!$C$31</f>
        <v/>
      </c>
      <c r="AM30" s="58">
        <f>Premissas!$C$31</f>
        <v/>
      </c>
      <c r="AN30" s="58">
        <f>Premissas!$C$31</f>
        <v/>
      </c>
      <c r="AO30" s="58">
        <f>Premissas!$C$31</f>
        <v/>
      </c>
      <c r="AP30" s="58">
        <f>Premissas!$C$31</f>
        <v/>
      </c>
      <c r="AQ30" s="58">
        <f>Premissas!$C$31</f>
        <v/>
      </c>
      <c r="AR30" s="58">
        <f>Premissas!$C$31</f>
        <v/>
      </c>
      <c r="AS30" s="58">
        <f>Premissas!$C$31</f>
        <v/>
      </c>
      <c r="AT30" s="58">
        <f>Premissas!$C$31</f>
        <v/>
      </c>
      <c r="AU30" s="58">
        <f>Premissas!$C$31</f>
        <v/>
      </c>
      <c r="AV30" s="58">
        <f>Premissas!$C$31</f>
        <v/>
      </c>
      <c r="AW30" s="58">
        <f>Premissas!$C$31</f>
        <v/>
      </c>
      <c r="AX30" s="58">
        <f>Premissas!$C$31</f>
        <v/>
      </c>
      <c r="AY30" s="58">
        <f>Premissas!$C$31</f>
        <v/>
      </c>
      <c r="AZ30" s="58">
        <f>Premissas!$C$31</f>
        <v/>
      </c>
      <c r="BA30" s="58">
        <f>Premissas!$C$31</f>
        <v/>
      </c>
      <c r="BB30" s="58">
        <f>Premissas!$C$31</f>
        <v/>
      </c>
      <c r="BC30" s="58">
        <f>Premissas!$C$31</f>
        <v/>
      </c>
      <c r="BD30" s="58">
        <f>Premissas!$C$31</f>
        <v/>
      </c>
      <c r="BE30" s="58">
        <f>Premissas!$C$31</f>
        <v/>
      </c>
      <c r="BF30" s="58">
        <f>Premissas!$C$31</f>
        <v/>
      </c>
      <c r="BG30" s="58">
        <f>Premissas!$C$31</f>
        <v/>
      </c>
      <c r="BH30" s="58">
        <f>Premissas!$C$31</f>
        <v/>
      </c>
      <c r="BI30" s="58">
        <f>Premissas!$C$31</f>
        <v/>
      </c>
      <c r="BJ30" s="58">
        <f>Premissas!$C$31</f>
        <v/>
      </c>
      <c r="BK30" s="58">
        <f>Premissas!$C$31</f>
        <v/>
      </c>
    </row>
    <row r="31" ht="15" customHeight="1" s="35">
      <c r="A31" s="43" t="inlineStr">
        <is>
          <t>Impostos — Simples Nacional (R$)</t>
        </is>
      </c>
      <c r="B31" s="53" t="inlineStr">
        <is>
          <t>R$</t>
        </is>
      </c>
      <c r="C31" s="58" t="n">
        <v>0</v>
      </c>
      <c r="D31" s="58">
        <f>D24*Premissas!$C$32</f>
        <v/>
      </c>
      <c r="E31" s="58">
        <f>E24*Premissas!$C$32</f>
        <v/>
      </c>
      <c r="F31" s="58">
        <f>F24*Premissas!$C$32</f>
        <v/>
      </c>
      <c r="G31" s="58">
        <f>G24*Premissas!$C$32</f>
        <v/>
      </c>
      <c r="H31" s="58">
        <f>H24*Premissas!$C$32</f>
        <v/>
      </c>
      <c r="I31" s="58">
        <f>I24*Premissas!$C$32</f>
        <v/>
      </c>
      <c r="J31" s="58">
        <f>J24*Premissas!$C$32</f>
        <v/>
      </c>
      <c r="K31" s="58">
        <f>K24*Premissas!$C$32</f>
        <v/>
      </c>
      <c r="L31" s="58">
        <f>L24*Premissas!$C$32</f>
        <v/>
      </c>
      <c r="M31" s="58">
        <f>M24*Premissas!$C$32</f>
        <v/>
      </c>
      <c r="N31" s="58">
        <f>N24*Premissas!$C$32</f>
        <v/>
      </c>
      <c r="O31" s="58">
        <f>O24*Premissas!$C$32</f>
        <v/>
      </c>
      <c r="P31" s="58">
        <f>P24*Premissas!$C$32</f>
        <v/>
      </c>
      <c r="Q31" s="58">
        <f>Q24*Premissas!$C$32</f>
        <v/>
      </c>
      <c r="R31" s="58">
        <f>R24*Premissas!$C$32</f>
        <v/>
      </c>
      <c r="S31" s="58">
        <f>S24*Premissas!$C$32</f>
        <v/>
      </c>
      <c r="T31" s="58">
        <f>T24*Premissas!$C$32</f>
        <v/>
      </c>
      <c r="U31" s="58">
        <f>U24*Premissas!$C$32</f>
        <v/>
      </c>
      <c r="V31" s="58">
        <f>V24*Premissas!$C$32</f>
        <v/>
      </c>
      <c r="W31" s="58">
        <f>W24*Premissas!$C$32</f>
        <v/>
      </c>
      <c r="X31" s="58">
        <f>X24*Premissas!$C$32</f>
        <v/>
      </c>
      <c r="Y31" s="58">
        <f>Y24*Premissas!$C$32</f>
        <v/>
      </c>
      <c r="Z31" s="58">
        <f>Z24*Premissas!$C$32</f>
        <v/>
      </c>
      <c r="AA31" s="58">
        <f>AA24*Premissas!$C$32</f>
        <v/>
      </c>
      <c r="AB31" s="58">
        <f>AB24*Premissas!$C$32</f>
        <v/>
      </c>
      <c r="AC31" s="58">
        <f>AC24*Premissas!$C$32</f>
        <v/>
      </c>
      <c r="AD31" s="58">
        <f>AD24*Premissas!$C$32</f>
        <v/>
      </c>
      <c r="AE31" s="58">
        <f>AE24*Premissas!$C$32</f>
        <v/>
      </c>
      <c r="AF31" s="58">
        <f>AF24*Premissas!$C$32</f>
        <v/>
      </c>
      <c r="AG31" s="58">
        <f>AG24*Premissas!$C$32</f>
        <v/>
      </c>
      <c r="AH31" s="58">
        <f>AH24*Premissas!$C$32</f>
        <v/>
      </c>
      <c r="AI31" s="58">
        <f>AI24*Premissas!$C$32</f>
        <v/>
      </c>
      <c r="AJ31" s="58">
        <f>AJ24*Premissas!$C$32</f>
        <v/>
      </c>
      <c r="AK31" s="58">
        <f>AK24*Premissas!$C$32</f>
        <v/>
      </c>
      <c r="AL31" s="58">
        <f>AL24*Premissas!$C$32</f>
        <v/>
      </c>
      <c r="AM31" s="58">
        <f>AM24*Premissas!$C$32</f>
        <v/>
      </c>
      <c r="AN31" s="58">
        <f>AN24*Premissas!$C$32</f>
        <v/>
      </c>
      <c r="AO31" s="58">
        <f>AO24*Premissas!$C$32</f>
        <v/>
      </c>
      <c r="AP31" s="58">
        <f>AP24*Premissas!$C$32</f>
        <v/>
      </c>
      <c r="AQ31" s="58">
        <f>AQ24*Premissas!$C$32</f>
        <v/>
      </c>
      <c r="AR31" s="58">
        <f>AR24*Premissas!$C$32</f>
        <v/>
      </c>
      <c r="AS31" s="58">
        <f>AS24*Premissas!$C$32</f>
        <v/>
      </c>
      <c r="AT31" s="58">
        <f>AT24*Premissas!$C$32</f>
        <v/>
      </c>
      <c r="AU31" s="58">
        <f>AU24*Premissas!$C$32</f>
        <v/>
      </c>
      <c r="AV31" s="58">
        <f>AV24*Premissas!$C$32</f>
        <v/>
      </c>
      <c r="AW31" s="58">
        <f>AW24*Premissas!$C$32</f>
        <v/>
      </c>
      <c r="AX31" s="58">
        <f>AX24*Premissas!$C$32</f>
        <v/>
      </c>
      <c r="AY31" s="58">
        <f>AY24*Premissas!$C$32</f>
        <v/>
      </c>
      <c r="AZ31" s="58">
        <f>AZ24*Premissas!$C$32</f>
        <v/>
      </c>
      <c r="BA31" s="58">
        <f>BA24*Premissas!$C$32</f>
        <v/>
      </c>
      <c r="BB31" s="58">
        <f>BB24*Premissas!$C$32</f>
        <v/>
      </c>
      <c r="BC31" s="58">
        <f>BC24*Premissas!$C$32</f>
        <v/>
      </c>
      <c r="BD31" s="58">
        <f>BD24*Premissas!$C$32</f>
        <v/>
      </c>
      <c r="BE31" s="58">
        <f>BE24*Premissas!$C$32</f>
        <v/>
      </c>
      <c r="BF31" s="58">
        <f>BF24*Premissas!$C$32</f>
        <v/>
      </c>
      <c r="BG31" s="58">
        <f>BG24*Premissas!$C$32</f>
        <v/>
      </c>
      <c r="BH31" s="58">
        <f>BH24*Premissas!$C$32</f>
        <v/>
      </c>
      <c r="BI31" s="58">
        <f>BI24*Premissas!$C$32</f>
        <v/>
      </c>
      <c r="BJ31" s="58">
        <f>BJ24*Premissas!$C$32</f>
        <v/>
      </c>
      <c r="BK31" s="58">
        <f>BK24*Premissas!$C$32</f>
        <v/>
      </c>
    </row>
    <row r="32" ht="15" customHeight="1" s="35">
      <c r="A32" s="47" t="inlineStr">
        <is>
          <t>DESPESAS TOTAIS (R$)</t>
        </is>
      </c>
      <c r="B32" s="53" t="inlineStr">
        <is>
          <t>R$</t>
        </is>
      </c>
      <c r="C32" s="59" t="n">
        <v>0</v>
      </c>
      <c r="D32" s="59">
        <f>D27+D28+D29+D30+D31</f>
        <v/>
      </c>
      <c r="E32" s="59">
        <f>E27+E28+E29+E30+E31</f>
        <v/>
      </c>
      <c r="F32" s="59">
        <f>F27+F28+F29+F30+F31</f>
        <v/>
      </c>
      <c r="G32" s="59">
        <f>G27+G28+G29+G30+G31</f>
        <v/>
      </c>
      <c r="H32" s="59">
        <f>H27+H28+H29+H30+H31</f>
        <v/>
      </c>
      <c r="I32" s="59">
        <f>I27+I28+I29+I30+I31</f>
        <v/>
      </c>
      <c r="J32" s="59">
        <f>J27+J28+J29+J30+J31</f>
        <v/>
      </c>
      <c r="K32" s="59">
        <f>K27+K28+K29+K30+K31</f>
        <v/>
      </c>
      <c r="L32" s="59">
        <f>L27+L28+L29+L30+L31</f>
        <v/>
      </c>
      <c r="M32" s="59">
        <f>M27+M28+M29+M30+M31</f>
        <v/>
      </c>
      <c r="N32" s="59">
        <f>N27+N28+N29+N30+N31</f>
        <v/>
      </c>
      <c r="O32" s="59">
        <f>O27+O28+O29+O30+O31</f>
        <v/>
      </c>
      <c r="P32" s="59">
        <f>P27+P28+P29+P30+P31</f>
        <v/>
      </c>
      <c r="Q32" s="59">
        <f>Q27+Q28+Q29+Q30+Q31</f>
        <v/>
      </c>
      <c r="R32" s="59">
        <f>R27+R28+R29+R30+R31</f>
        <v/>
      </c>
      <c r="S32" s="59">
        <f>S27+S28+S29+S30+S31</f>
        <v/>
      </c>
      <c r="T32" s="59">
        <f>T27+T28+T29+T30+T31</f>
        <v/>
      </c>
      <c r="U32" s="59">
        <f>U27+U28+U29+U30+U31</f>
        <v/>
      </c>
      <c r="V32" s="59">
        <f>V27+V28+V29+V30+V31</f>
        <v/>
      </c>
      <c r="W32" s="59">
        <f>W27+W28+W29+W30+W31</f>
        <v/>
      </c>
      <c r="X32" s="59">
        <f>X27+X28+X29+X30+X31</f>
        <v/>
      </c>
      <c r="Y32" s="59">
        <f>Y27+Y28+Y29+Y30+Y31</f>
        <v/>
      </c>
      <c r="Z32" s="59">
        <f>Z27+Z28+Z29+Z30+Z31</f>
        <v/>
      </c>
      <c r="AA32" s="59">
        <f>AA27+AA28+AA29+AA30+AA31</f>
        <v/>
      </c>
      <c r="AB32" s="59">
        <f>AB27+AB28+AB29+AB30+AB31</f>
        <v/>
      </c>
      <c r="AC32" s="59">
        <f>AC27+AC28+AC29+AC30+AC31</f>
        <v/>
      </c>
      <c r="AD32" s="59">
        <f>AD27+AD28+AD29+AD30+AD31</f>
        <v/>
      </c>
      <c r="AE32" s="59">
        <f>AE27+AE28+AE29+AE30+AE31</f>
        <v/>
      </c>
      <c r="AF32" s="59">
        <f>AF27+AF28+AF29+AF30+AF31</f>
        <v/>
      </c>
      <c r="AG32" s="59">
        <f>AG27+AG28+AG29+AG30+AG31</f>
        <v/>
      </c>
      <c r="AH32" s="59">
        <f>AH27+AH28+AH29+AH30+AH31</f>
        <v/>
      </c>
      <c r="AI32" s="59">
        <f>AI27+AI28+AI29+AI30+AI31</f>
        <v/>
      </c>
      <c r="AJ32" s="59">
        <f>AJ27+AJ28+AJ29+AJ30+AJ31</f>
        <v/>
      </c>
      <c r="AK32" s="59">
        <f>AK27+AK28+AK29+AK30+AK31</f>
        <v/>
      </c>
      <c r="AL32" s="59">
        <f>AL27+AL28+AL29+AL30+AL31</f>
        <v/>
      </c>
      <c r="AM32" s="59">
        <f>AM27+AM28+AM29+AM30+AM31</f>
        <v/>
      </c>
      <c r="AN32" s="59">
        <f>AN27+AN28+AN29+AN30+AN31</f>
        <v/>
      </c>
      <c r="AO32" s="59">
        <f>AO27+AO28+AO29+AO30+AO31</f>
        <v/>
      </c>
      <c r="AP32" s="59">
        <f>AP27+AP28+AP29+AP30+AP31</f>
        <v/>
      </c>
      <c r="AQ32" s="59">
        <f>AQ27+AQ28+AQ29+AQ30+AQ31</f>
        <v/>
      </c>
      <c r="AR32" s="59">
        <f>AR27+AR28+AR29+AR30+AR31</f>
        <v/>
      </c>
      <c r="AS32" s="59">
        <f>AS27+AS28+AS29+AS30+AS31</f>
        <v/>
      </c>
      <c r="AT32" s="59">
        <f>AT27+AT28+AT29+AT30+AT31</f>
        <v/>
      </c>
      <c r="AU32" s="59">
        <f>AU27+AU28+AU29+AU30+AU31</f>
        <v/>
      </c>
      <c r="AV32" s="59">
        <f>AV27+AV28+AV29+AV30+AV31</f>
        <v/>
      </c>
      <c r="AW32" s="59">
        <f>AW27+AW28+AW29+AW30+AW31</f>
        <v/>
      </c>
      <c r="AX32" s="59">
        <f>AX27+AX28+AX29+AX30+AX31</f>
        <v/>
      </c>
      <c r="AY32" s="59">
        <f>AY27+AY28+AY29+AY30+AY31</f>
        <v/>
      </c>
      <c r="AZ32" s="59">
        <f>AZ27+AZ28+AZ29+AZ30+AZ31</f>
        <v/>
      </c>
      <c r="BA32" s="59">
        <f>BA27+BA28+BA29+BA30+BA31</f>
        <v/>
      </c>
      <c r="BB32" s="59">
        <f>BB27+BB28+BB29+BB30+BB31</f>
        <v/>
      </c>
      <c r="BC32" s="59">
        <f>BC27+BC28+BC29+BC30+BC31</f>
        <v/>
      </c>
      <c r="BD32" s="59">
        <f>BD27+BD28+BD29+BD30+BD31</f>
        <v/>
      </c>
      <c r="BE32" s="59">
        <f>BE27+BE28+BE29+BE30+BE31</f>
        <v/>
      </c>
      <c r="BF32" s="59">
        <f>BF27+BF28+BF29+BF30+BF31</f>
        <v/>
      </c>
      <c r="BG32" s="59">
        <f>BG27+BG28+BG29+BG30+BG31</f>
        <v/>
      </c>
      <c r="BH32" s="59">
        <f>BH27+BH28+BH29+BH30+BH31</f>
        <v/>
      </c>
      <c r="BI32" s="59">
        <f>BI27+BI28+BI29+BI30+BI31</f>
        <v/>
      </c>
      <c r="BJ32" s="59">
        <f>BJ27+BJ28+BJ29+BJ30+BJ31</f>
        <v/>
      </c>
      <c r="BK32" s="59">
        <f>BK27+BK28+BK29+BK30+BK31</f>
        <v/>
      </c>
    </row>
    <row r="34" ht="15" customHeight="1" s="35">
      <c r="A34" s="46" t="inlineStr">
        <is>
          <t>── RESULTADO ──</t>
        </is>
      </c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42" t="n"/>
      <c r="AB34" s="42" t="n"/>
      <c r="AC34" s="42" t="n"/>
      <c r="AD34" s="42" t="n"/>
      <c r="AE34" s="42" t="n"/>
      <c r="AF34" s="42" t="n"/>
      <c r="AG34" s="42" t="n"/>
      <c r="AH34" s="42" t="n"/>
      <c r="AI34" s="42" t="n"/>
      <c r="AJ34" s="42" t="n"/>
      <c r="AK34" s="42" t="n"/>
      <c r="AL34" s="42" t="n"/>
      <c r="AM34" s="42" t="n"/>
      <c r="AN34" s="42" t="n"/>
      <c r="AO34" s="42" t="n"/>
      <c r="AP34" s="42" t="n"/>
      <c r="AQ34" s="42" t="n"/>
      <c r="AR34" s="42" t="n"/>
      <c r="AS34" s="42" t="n"/>
      <c r="AT34" s="42" t="n"/>
      <c r="AU34" s="42" t="n"/>
      <c r="AV34" s="42" t="n"/>
      <c r="AW34" s="42" t="n"/>
      <c r="AX34" s="42" t="n"/>
      <c r="AY34" s="42" t="n"/>
      <c r="AZ34" s="42" t="n"/>
      <c r="BA34" s="42" t="n"/>
      <c r="BB34" s="42" t="n"/>
      <c r="BC34" s="42" t="n"/>
      <c r="BD34" s="42" t="n"/>
      <c r="BE34" s="42" t="n"/>
      <c r="BF34" s="42" t="n"/>
      <c r="BG34" s="42" t="n"/>
      <c r="BH34" s="42" t="n"/>
      <c r="BI34" s="42" t="n"/>
      <c r="BJ34" s="42" t="n"/>
      <c r="BK34" s="42" t="n"/>
    </row>
    <row r="35" ht="15" customHeight="1" s="35">
      <c r="A35" s="47" t="inlineStr">
        <is>
          <t>LUCRO LÍQUIDO DO MÊS (R$)</t>
        </is>
      </c>
      <c r="B35" s="53" t="inlineStr">
        <is>
          <t>R$</t>
        </is>
      </c>
      <c r="C35" s="59" t="n">
        <v>0</v>
      </c>
      <c r="D35" s="59">
        <f>D24-D32</f>
        <v/>
      </c>
      <c r="E35" s="59">
        <f>E24-E32</f>
        <v/>
      </c>
      <c r="F35" s="59">
        <f>F24-F32</f>
        <v/>
      </c>
      <c r="G35" s="59">
        <f>G24-G32</f>
        <v/>
      </c>
      <c r="H35" s="59">
        <f>H24-H32</f>
        <v/>
      </c>
      <c r="I35" s="59">
        <f>I24-I32</f>
        <v/>
      </c>
      <c r="J35" s="59">
        <f>J24-J32</f>
        <v/>
      </c>
      <c r="K35" s="59">
        <f>K24-K32</f>
        <v/>
      </c>
      <c r="L35" s="59">
        <f>L24-L32</f>
        <v/>
      </c>
      <c r="M35" s="59">
        <f>M24-M32</f>
        <v/>
      </c>
      <c r="N35" s="59">
        <f>N24-N32</f>
        <v/>
      </c>
      <c r="O35" s="59">
        <f>O24-O32</f>
        <v/>
      </c>
      <c r="P35" s="59">
        <f>P24-P32</f>
        <v/>
      </c>
      <c r="Q35" s="59">
        <f>Q24-Q32</f>
        <v/>
      </c>
      <c r="R35" s="59">
        <f>R24-R32</f>
        <v/>
      </c>
      <c r="S35" s="59">
        <f>S24-S32</f>
        <v/>
      </c>
      <c r="T35" s="59">
        <f>T24-T32</f>
        <v/>
      </c>
      <c r="U35" s="59">
        <f>U24-U32</f>
        <v/>
      </c>
      <c r="V35" s="59">
        <f>V24-V32</f>
        <v/>
      </c>
      <c r="W35" s="59">
        <f>W24-W32</f>
        <v/>
      </c>
      <c r="X35" s="59">
        <f>X24-X32</f>
        <v/>
      </c>
      <c r="Y35" s="59">
        <f>Y24-Y32</f>
        <v/>
      </c>
      <c r="Z35" s="59">
        <f>Z24-Z32</f>
        <v/>
      </c>
      <c r="AA35" s="59">
        <f>AA24-AA32</f>
        <v/>
      </c>
      <c r="AB35" s="59">
        <f>AB24-AB32</f>
        <v/>
      </c>
      <c r="AC35" s="59">
        <f>AC24-AC32</f>
        <v/>
      </c>
      <c r="AD35" s="59">
        <f>AD24-AD32</f>
        <v/>
      </c>
      <c r="AE35" s="59">
        <f>AE24-AE32</f>
        <v/>
      </c>
      <c r="AF35" s="59">
        <f>AF24-AF32</f>
        <v/>
      </c>
      <c r="AG35" s="59">
        <f>AG24-AG32</f>
        <v/>
      </c>
      <c r="AH35" s="59">
        <f>AH24-AH32</f>
        <v/>
      </c>
      <c r="AI35" s="59">
        <f>AI24-AI32</f>
        <v/>
      </c>
      <c r="AJ35" s="59">
        <f>AJ24-AJ32</f>
        <v/>
      </c>
      <c r="AK35" s="59">
        <f>AK24-AK32</f>
        <v/>
      </c>
      <c r="AL35" s="59">
        <f>AL24-AL32</f>
        <v/>
      </c>
      <c r="AM35" s="59">
        <f>AM24-AM32</f>
        <v/>
      </c>
      <c r="AN35" s="59">
        <f>AN24-AN32</f>
        <v/>
      </c>
      <c r="AO35" s="59">
        <f>AO24-AO32</f>
        <v/>
      </c>
      <c r="AP35" s="59">
        <f>AP24-AP32</f>
        <v/>
      </c>
      <c r="AQ35" s="59">
        <f>AQ24-AQ32</f>
        <v/>
      </c>
      <c r="AR35" s="59">
        <f>AR24-AR32</f>
        <v/>
      </c>
      <c r="AS35" s="59">
        <f>AS24-AS32</f>
        <v/>
      </c>
      <c r="AT35" s="59">
        <f>AT24-AT32</f>
        <v/>
      </c>
      <c r="AU35" s="59">
        <f>AU24-AU32</f>
        <v/>
      </c>
      <c r="AV35" s="59">
        <f>AV24-AV32</f>
        <v/>
      </c>
      <c r="AW35" s="59">
        <f>AW24-AW32</f>
        <v/>
      </c>
      <c r="AX35" s="59">
        <f>AX24-AX32</f>
        <v/>
      </c>
      <c r="AY35" s="59">
        <f>AY24-AY32</f>
        <v/>
      </c>
      <c r="AZ35" s="59">
        <f>AZ24-AZ32</f>
        <v/>
      </c>
      <c r="BA35" s="59">
        <f>BA24-BA32</f>
        <v/>
      </c>
      <c r="BB35" s="59">
        <f>BB24-BB32</f>
        <v/>
      </c>
      <c r="BC35" s="59">
        <f>BC24-BC32</f>
        <v/>
      </c>
      <c r="BD35" s="59">
        <f>BD24-BD32</f>
        <v/>
      </c>
      <c r="BE35" s="59">
        <f>BE24-BE32</f>
        <v/>
      </c>
      <c r="BF35" s="59">
        <f>BF24-BF32</f>
        <v/>
      </c>
      <c r="BG35" s="59">
        <f>BG24-BG32</f>
        <v/>
      </c>
      <c r="BH35" s="59">
        <f>BH24-BH32</f>
        <v/>
      </c>
      <c r="BI35" s="59">
        <f>BI24-BI32</f>
        <v/>
      </c>
      <c r="BJ35" s="59">
        <f>BJ24-BJ32</f>
        <v/>
      </c>
      <c r="BK35" s="59">
        <f>BK24-BK32</f>
        <v/>
      </c>
    </row>
    <row r="36" ht="15" customHeight="1" s="35">
      <c r="A36" s="47" t="inlineStr">
        <is>
          <t>CAIXA ACUMULADO (R$)</t>
        </is>
      </c>
      <c r="B36" s="53" t="inlineStr">
        <is>
          <t>R$</t>
        </is>
      </c>
      <c r="C36" s="59">
        <f>Premissas!$C$33</f>
        <v/>
      </c>
      <c r="D36" s="59">
        <f>C36+D35</f>
        <v/>
      </c>
      <c r="E36" s="59">
        <f>D36+E35</f>
        <v/>
      </c>
      <c r="F36" s="59">
        <f>E36+F35</f>
        <v/>
      </c>
      <c r="G36" s="59">
        <f>F36+G35</f>
        <v/>
      </c>
      <c r="H36" s="59">
        <f>G36+H35</f>
        <v/>
      </c>
      <c r="I36" s="59">
        <f>H36+I35</f>
        <v/>
      </c>
      <c r="J36" s="59">
        <f>I36+J35</f>
        <v/>
      </c>
      <c r="K36" s="59">
        <f>J36+K35</f>
        <v/>
      </c>
      <c r="L36" s="59">
        <f>K36+L35</f>
        <v/>
      </c>
      <c r="M36" s="59">
        <f>L36+M35</f>
        <v/>
      </c>
      <c r="N36" s="59">
        <f>M36+N35</f>
        <v/>
      </c>
      <c r="O36" s="59">
        <f>N36+O35</f>
        <v/>
      </c>
      <c r="P36" s="59">
        <f>O36+P35</f>
        <v/>
      </c>
      <c r="Q36" s="59">
        <f>P36+Q35</f>
        <v/>
      </c>
      <c r="R36" s="59">
        <f>Q36+R35</f>
        <v/>
      </c>
      <c r="S36" s="59">
        <f>R36+S35</f>
        <v/>
      </c>
      <c r="T36" s="59">
        <f>S36+T35</f>
        <v/>
      </c>
      <c r="U36" s="59">
        <f>T36+U35</f>
        <v/>
      </c>
      <c r="V36" s="59">
        <f>U36+V35</f>
        <v/>
      </c>
      <c r="W36" s="59">
        <f>V36+W35</f>
        <v/>
      </c>
      <c r="X36" s="59">
        <f>W36+X35</f>
        <v/>
      </c>
      <c r="Y36" s="59">
        <f>X36+Y35</f>
        <v/>
      </c>
      <c r="Z36" s="59">
        <f>Y36+Z35</f>
        <v/>
      </c>
      <c r="AA36" s="59">
        <f>Z36+AA35</f>
        <v/>
      </c>
      <c r="AB36" s="59">
        <f>AA36+AB35</f>
        <v/>
      </c>
      <c r="AC36" s="59">
        <f>AB36+AC35</f>
        <v/>
      </c>
      <c r="AD36" s="59">
        <f>AC36+AD35</f>
        <v/>
      </c>
      <c r="AE36" s="59">
        <f>AD36+AE35</f>
        <v/>
      </c>
      <c r="AF36" s="59">
        <f>AE36+AF35</f>
        <v/>
      </c>
      <c r="AG36" s="59">
        <f>AF36+AG35</f>
        <v/>
      </c>
      <c r="AH36" s="59">
        <f>AG36+AH35</f>
        <v/>
      </c>
      <c r="AI36" s="59">
        <f>AH36+AI35</f>
        <v/>
      </c>
      <c r="AJ36" s="59">
        <f>AI36+AJ35</f>
        <v/>
      </c>
      <c r="AK36" s="59">
        <f>AJ36+AK35</f>
        <v/>
      </c>
      <c r="AL36" s="59">
        <f>AK36+AL35</f>
        <v/>
      </c>
      <c r="AM36" s="59">
        <f>AL36+AM35</f>
        <v/>
      </c>
      <c r="AN36" s="59">
        <f>AM36+AN35</f>
        <v/>
      </c>
      <c r="AO36" s="59">
        <f>AN36+AO35</f>
        <v/>
      </c>
      <c r="AP36" s="59">
        <f>AO36+AP35</f>
        <v/>
      </c>
      <c r="AQ36" s="59">
        <f>AP36+AQ35</f>
        <v/>
      </c>
      <c r="AR36" s="59">
        <f>AQ36+AR35</f>
        <v/>
      </c>
      <c r="AS36" s="59">
        <f>AR36+AS35</f>
        <v/>
      </c>
      <c r="AT36" s="59">
        <f>AS36+AT35</f>
        <v/>
      </c>
      <c r="AU36" s="59">
        <f>AT36+AU35</f>
        <v/>
      </c>
      <c r="AV36" s="59">
        <f>AU36+AV35</f>
        <v/>
      </c>
      <c r="AW36" s="59">
        <f>AV36+AW35</f>
        <v/>
      </c>
      <c r="AX36" s="59">
        <f>AW36+AX35</f>
        <v/>
      </c>
      <c r="AY36" s="59">
        <f>AX36+AY35</f>
        <v/>
      </c>
      <c r="AZ36" s="59">
        <f>AY36+AZ35</f>
        <v/>
      </c>
      <c r="BA36" s="59">
        <f>AZ36+BA35</f>
        <v/>
      </c>
      <c r="BB36" s="59">
        <f>BA36+BB35</f>
        <v/>
      </c>
      <c r="BC36" s="59">
        <f>BB36+BC35</f>
        <v/>
      </c>
      <c r="BD36" s="59">
        <f>BC36+BD35</f>
        <v/>
      </c>
      <c r="BE36" s="59">
        <f>BD36+BE35</f>
        <v/>
      </c>
      <c r="BF36" s="59">
        <f>BE36+BF35</f>
        <v/>
      </c>
      <c r="BG36" s="59">
        <f>BF36+BG35</f>
        <v/>
      </c>
      <c r="BH36" s="59">
        <f>BG36+BH35</f>
        <v/>
      </c>
      <c r="BI36" s="59">
        <f>BH36+BI35</f>
        <v/>
      </c>
      <c r="BJ36" s="59">
        <f>BI36+BJ35</f>
        <v/>
      </c>
      <c r="BK36" s="59">
        <f>BJ36+BK35</f>
        <v/>
      </c>
    </row>
  </sheetData>
  <mergeCells count="5">
    <mergeCell ref="P3:AA3"/>
    <mergeCell ref="D3:O3"/>
    <mergeCell ref="AB3:AM3"/>
    <mergeCell ref="AZ3:BK3"/>
    <mergeCell ref="AN3:AY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K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6" customWidth="1" style="34" min="1" max="1"/>
    <col width="8" customWidth="1" style="34" min="2" max="2"/>
    <col width="11" customWidth="1" style="34" min="3" max="63"/>
  </cols>
  <sheetData>
    <row r="1" ht="17.35" customHeight="1" s="35">
      <c r="A1" s="36" t="inlineStr">
        <is>
          <t>Cenário Otimista — Projeção Mês a Mês (Lançamento + 60 meses = 5 anos)</t>
        </is>
      </c>
    </row>
    <row r="2" ht="15" customHeight="1" s="35">
      <c r="A2" s="53" t="inlineStr">
        <is>
          <t>Todas as células desta aba são fórmula. Premissas (azul) ficam só na aba 'Premissas'.</t>
        </is>
      </c>
    </row>
    <row r="3" ht="26.85" customHeight="1" s="35">
      <c r="A3" s="62" t="inlineStr">
        <is>
          <t>Métrica</t>
        </is>
      </c>
      <c r="B3" s="62" t="inlineStr">
        <is>
          <t>Unid.</t>
        </is>
      </c>
      <c r="C3" s="62" t="inlineStr">
        <is>
          <t>Lança-
mento</t>
        </is>
      </c>
      <c r="D3" s="62" t="inlineStr">
        <is>
          <t>Ano 1</t>
        </is>
      </c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6" t="n"/>
      <c r="P3" s="62" t="inlineStr">
        <is>
          <t>Ano 2</t>
        </is>
      </c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  <c r="Z3" s="55" t="n"/>
      <c r="AA3" s="56" t="n"/>
      <c r="AB3" s="62" t="inlineStr">
        <is>
          <t>Ano 3</t>
        </is>
      </c>
      <c r="AC3" s="55" t="n"/>
      <c r="AD3" s="55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6" t="n"/>
      <c r="AN3" s="62" t="inlineStr">
        <is>
          <t>Ano 4</t>
        </is>
      </c>
      <c r="AO3" s="55" t="n"/>
      <c r="AP3" s="55" t="n"/>
      <c r="AQ3" s="55" t="n"/>
      <c r="AR3" s="55" t="n"/>
      <c r="AS3" s="55" t="n"/>
      <c r="AT3" s="55" t="n"/>
      <c r="AU3" s="55" t="n"/>
      <c r="AV3" s="55" t="n"/>
      <c r="AW3" s="55" t="n"/>
      <c r="AX3" s="55" t="n"/>
      <c r="AY3" s="56" t="n"/>
      <c r="AZ3" s="62" t="inlineStr">
        <is>
          <t>Ano 5</t>
        </is>
      </c>
      <c r="BA3" s="55" t="n"/>
      <c r="BB3" s="55" t="n"/>
      <c r="BC3" s="55" t="n"/>
      <c r="BD3" s="55" t="n"/>
      <c r="BE3" s="55" t="n"/>
      <c r="BF3" s="55" t="n"/>
      <c r="BG3" s="55" t="n"/>
      <c r="BH3" s="55" t="n"/>
      <c r="BI3" s="55" t="n"/>
      <c r="BJ3" s="55" t="n"/>
      <c r="BK3" s="56" t="n"/>
    </row>
    <row r="4" ht="15" customHeight="1" s="35">
      <c r="A4" s="41" t="inlineStr">
        <is>
          <t>── FUNIL DE USUÁRIOS ──</t>
        </is>
      </c>
      <c r="B4" s="57" t="n"/>
      <c r="C4" s="57" t="inlineStr">
        <is>
          <t>0</t>
        </is>
      </c>
      <c r="D4" s="57" t="inlineStr">
        <is>
          <t>1</t>
        </is>
      </c>
      <c r="E4" s="57" t="inlineStr">
        <is>
          <t>2</t>
        </is>
      </c>
      <c r="F4" s="57" t="inlineStr">
        <is>
          <t>3</t>
        </is>
      </c>
      <c r="G4" s="57" t="inlineStr">
        <is>
          <t>4</t>
        </is>
      </c>
      <c r="H4" s="57" t="inlineStr">
        <is>
          <t>5</t>
        </is>
      </c>
      <c r="I4" s="57" t="inlineStr">
        <is>
          <t>6</t>
        </is>
      </c>
      <c r="J4" s="57" t="inlineStr">
        <is>
          <t>7</t>
        </is>
      </c>
      <c r="K4" s="57" t="inlineStr">
        <is>
          <t>8</t>
        </is>
      </c>
      <c r="L4" s="57" t="inlineStr">
        <is>
          <t>9</t>
        </is>
      </c>
      <c r="M4" s="57" t="inlineStr">
        <is>
          <t>10</t>
        </is>
      </c>
      <c r="N4" s="57" t="inlineStr">
        <is>
          <t>11</t>
        </is>
      </c>
      <c r="O4" s="57" t="inlineStr">
        <is>
          <t>12</t>
        </is>
      </c>
      <c r="P4" s="57" t="inlineStr">
        <is>
          <t>13</t>
        </is>
      </c>
      <c r="Q4" s="57" t="inlineStr">
        <is>
          <t>14</t>
        </is>
      </c>
      <c r="R4" s="57" t="inlineStr">
        <is>
          <t>15</t>
        </is>
      </c>
      <c r="S4" s="57" t="inlineStr">
        <is>
          <t>16</t>
        </is>
      </c>
      <c r="T4" s="57" t="inlineStr">
        <is>
          <t>17</t>
        </is>
      </c>
      <c r="U4" s="57" t="inlineStr">
        <is>
          <t>18</t>
        </is>
      </c>
      <c r="V4" s="57" t="inlineStr">
        <is>
          <t>19</t>
        </is>
      </c>
      <c r="W4" s="57" t="inlineStr">
        <is>
          <t>20</t>
        </is>
      </c>
      <c r="X4" s="57" t="inlineStr">
        <is>
          <t>21</t>
        </is>
      </c>
      <c r="Y4" s="57" t="inlineStr">
        <is>
          <t>22</t>
        </is>
      </c>
      <c r="Z4" s="57" t="inlineStr">
        <is>
          <t>23</t>
        </is>
      </c>
      <c r="AA4" s="57" t="inlineStr">
        <is>
          <t>24</t>
        </is>
      </c>
      <c r="AB4" s="57" t="inlineStr">
        <is>
          <t>25</t>
        </is>
      </c>
      <c r="AC4" s="57" t="inlineStr">
        <is>
          <t>26</t>
        </is>
      </c>
      <c r="AD4" s="57" t="inlineStr">
        <is>
          <t>27</t>
        </is>
      </c>
      <c r="AE4" s="57" t="inlineStr">
        <is>
          <t>28</t>
        </is>
      </c>
      <c r="AF4" s="57" t="inlineStr">
        <is>
          <t>29</t>
        </is>
      </c>
      <c r="AG4" s="57" t="inlineStr">
        <is>
          <t>30</t>
        </is>
      </c>
      <c r="AH4" s="57" t="inlineStr">
        <is>
          <t>31</t>
        </is>
      </c>
      <c r="AI4" s="57" t="inlineStr">
        <is>
          <t>32</t>
        </is>
      </c>
      <c r="AJ4" s="57" t="inlineStr">
        <is>
          <t>33</t>
        </is>
      </c>
      <c r="AK4" s="57" t="inlineStr">
        <is>
          <t>34</t>
        </is>
      </c>
      <c r="AL4" s="57" t="inlineStr">
        <is>
          <t>35</t>
        </is>
      </c>
      <c r="AM4" s="57" t="inlineStr">
        <is>
          <t>36</t>
        </is>
      </c>
      <c r="AN4" s="57" t="inlineStr">
        <is>
          <t>37</t>
        </is>
      </c>
      <c r="AO4" s="57" t="inlineStr">
        <is>
          <t>38</t>
        </is>
      </c>
      <c r="AP4" s="57" t="inlineStr">
        <is>
          <t>39</t>
        </is>
      </c>
      <c r="AQ4" s="57" t="inlineStr">
        <is>
          <t>40</t>
        </is>
      </c>
      <c r="AR4" s="57" t="inlineStr">
        <is>
          <t>41</t>
        </is>
      </c>
      <c r="AS4" s="57" t="inlineStr">
        <is>
          <t>42</t>
        </is>
      </c>
      <c r="AT4" s="57" t="inlineStr">
        <is>
          <t>43</t>
        </is>
      </c>
      <c r="AU4" s="57" t="inlineStr">
        <is>
          <t>44</t>
        </is>
      </c>
      <c r="AV4" s="57" t="inlineStr">
        <is>
          <t>45</t>
        </is>
      </c>
      <c r="AW4" s="57" t="inlineStr">
        <is>
          <t>46</t>
        </is>
      </c>
      <c r="AX4" s="57" t="inlineStr">
        <is>
          <t>47</t>
        </is>
      </c>
      <c r="AY4" s="57" t="inlineStr">
        <is>
          <t>48</t>
        </is>
      </c>
      <c r="AZ4" s="57" t="inlineStr">
        <is>
          <t>49</t>
        </is>
      </c>
      <c r="BA4" s="57" t="inlineStr">
        <is>
          <t>50</t>
        </is>
      </c>
      <c r="BB4" s="57" t="inlineStr">
        <is>
          <t>51</t>
        </is>
      </c>
      <c r="BC4" s="57" t="inlineStr">
        <is>
          <t>52</t>
        </is>
      </c>
      <c r="BD4" s="57" t="inlineStr">
        <is>
          <t>53</t>
        </is>
      </c>
      <c r="BE4" s="57" t="inlineStr">
        <is>
          <t>54</t>
        </is>
      </c>
      <c r="BF4" s="57" t="inlineStr">
        <is>
          <t>55</t>
        </is>
      </c>
      <c r="BG4" s="57" t="inlineStr">
        <is>
          <t>56</t>
        </is>
      </c>
      <c r="BH4" s="57" t="inlineStr">
        <is>
          <t>57</t>
        </is>
      </c>
      <c r="BI4" s="57" t="inlineStr">
        <is>
          <t>58</t>
        </is>
      </c>
      <c r="BJ4" s="57" t="inlineStr">
        <is>
          <t>59</t>
        </is>
      </c>
      <c r="BK4" s="57" t="inlineStr">
        <is>
          <t>60</t>
        </is>
      </c>
    </row>
    <row r="6" ht="15" customHeight="1" s="35">
      <c r="A6" s="43" t="inlineStr">
        <is>
          <t>Novos cadastros Node: Starter (qtd)</t>
        </is>
      </c>
      <c r="B6" s="53" t="inlineStr">
        <is>
          <t>qtd</t>
        </is>
      </c>
      <c r="C6" s="58" t="n">
        <v>0</v>
      </c>
      <c r="D6" s="58">
        <f>MIN(Premissas!$D$9,Premissas!$D$11)</f>
        <v/>
      </c>
      <c r="E6" s="58">
        <f>MIN(D6*(1+Premissas!$D$10),Premissas!$D$11)</f>
        <v/>
      </c>
      <c r="F6" s="58">
        <f>MIN(E6*(1+Premissas!$D$10),Premissas!$D$11)</f>
        <v/>
      </c>
      <c r="G6" s="58">
        <f>MIN(F6*(1+Premissas!$D$10),Premissas!$D$11)</f>
        <v/>
      </c>
      <c r="H6" s="58">
        <f>MIN(G6*(1+Premissas!$D$10),Premissas!$D$11)</f>
        <v/>
      </c>
      <c r="I6" s="58">
        <f>MIN(H6*(1+Premissas!$D$10),Premissas!$D$11)</f>
        <v/>
      </c>
      <c r="J6" s="58">
        <f>MIN(I6*(1+Premissas!$D$10),Premissas!$D$11)</f>
        <v/>
      </c>
      <c r="K6" s="58">
        <f>MIN(J6*(1+Premissas!$D$10),Premissas!$D$11)</f>
        <v/>
      </c>
      <c r="L6" s="58">
        <f>MIN(K6*(1+Premissas!$D$10),Premissas!$D$11)</f>
        <v/>
      </c>
      <c r="M6" s="58">
        <f>MIN(L6*(1+Premissas!$D$10),Premissas!$D$11)</f>
        <v/>
      </c>
      <c r="N6" s="58">
        <f>MIN(M6*(1+Premissas!$D$10),Premissas!$D$11)</f>
        <v/>
      </c>
      <c r="O6" s="58">
        <f>MIN(N6*(1+Premissas!$D$10),Premissas!$D$11)</f>
        <v/>
      </c>
      <c r="P6" s="58">
        <f>MIN(O6*(1+Premissas!$D$10),Premissas!$D$11)</f>
        <v/>
      </c>
      <c r="Q6" s="58">
        <f>MIN(P6*(1+Premissas!$D$10),Premissas!$D$11)</f>
        <v/>
      </c>
      <c r="R6" s="58">
        <f>MIN(Q6*(1+Premissas!$D$10),Premissas!$D$11)</f>
        <v/>
      </c>
      <c r="S6" s="58">
        <f>MIN(R6*(1+Premissas!$D$10),Premissas!$D$11)</f>
        <v/>
      </c>
      <c r="T6" s="58">
        <f>MIN(S6*(1+Premissas!$D$10),Premissas!$D$11)</f>
        <v/>
      </c>
      <c r="U6" s="58">
        <f>MIN(T6*(1+Premissas!$D$10),Premissas!$D$11)</f>
        <v/>
      </c>
      <c r="V6" s="58">
        <f>MIN(U6*(1+Premissas!$D$10),Premissas!$D$11)</f>
        <v/>
      </c>
      <c r="W6" s="58">
        <f>MIN(V6*(1+Premissas!$D$10),Premissas!$D$11)</f>
        <v/>
      </c>
      <c r="X6" s="58">
        <f>MIN(W6*(1+Premissas!$D$10),Premissas!$D$11)</f>
        <v/>
      </c>
      <c r="Y6" s="58">
        <f>MIN(X6*(1+Premissas!$D$10),Premissas!$D$11)</f>
        <v/>
      </c>
      <c r="Z6" s="58">
        <f>MIN(Y6*(1+Premissas!$D$10),Premissas!$D$11)</f>
        <v/>
      </c>
      <c r="AA6" s="58">
        <f>MIN(Z6*(1+Premissas!$D$10),Premissas!$D$11)</f>
        <v/>
      </c>
      <c r="AB6" s="58">
        <f>MIN(AA6*(1+Premissas!$D$10),Premissas!$D$11)</f>
        <v/>
      </c>
      <c r="AC6" s="58">
        <f>MIN(AB6*(1+Premissas!$D$10),Premissas!$D$11)</f>
        <v/>
      </c>
      <c r="AD6" s="58">
        <f>MIN(AC6*(1+Premissas!$D$10),Premissas!$D$11)</f>
        <v/>
      </c>
      <c r="AE6" s="58">
        <f>MIN(AD6*(1+Premissas!$D$10),Premissas!$D$11)</f>
        <v/>
      </c>
      <c r="AF6" s="58">
        <f>MIN(AE6*(1+Premissas!$D$10),Premissas!$D$11)</f>
        <v/>
      </c>
      <c r="AG6" s="58">
        <f>MIN(AF6*(1+Premissas!$D$10),Premissas!$D$11)</f>
        <v/>
      </c>
      <c r="AH6" s="58">
        <f>MIN(AG6*(1+Premissas!$D$10),Premissas!$D$11)</f>
        <v/>
      </c>
      <c r="AI6" s="58">
        <f>MIN(AH6*(1+Premissas!$D$10),Premissas!$D$11)</f>
        <v/>
      </c>
      <c r="AJ6" s="58">
        <f>MIN(AI6*(1+Premissas!$D$10),Premissas!$D$11)</f>
        <v/>
      </c>
      <c r="AK6" s="58">
        <f>MIN(AJ6*(1+Premissas!$D$10),Premissas!$D$11)</f>
        <v/>
      </c>
      <c r="AL6" s="58">
        <f>MIN(AK6*(1+Premissas!$D$10),Premissas!$D$11)</f>
        <v/>
      </c>
      <c r="AM6" s="58">
        <f>MIN(AL6*(1+Premissas!$D$10),Premissas!$D$11)</f>
        <v/>
      </c>
      <c r="AN6" s="58">
        <f>MIN(AM6*(1+Premissas!$D$10),Premissas!$D$11)</f>
        <v/>
      </c>
      <c r="AO6" s="58">
        <f>MIN(AN6*(1+Premissas!$D$10),Premissas!$D$11)</f>
        <v/>
      </c>
      <c r="AP6" s="58">
        <f>MIN(AO6*(1+Premissas!$D$10),Premissas!$D$11)</f>
        <v/>
      </c>
      <c r="AQ6" s="58">
        <f>MIN(AP6*(1+Premissas!$D$10),Premissas!$D$11)</f>
        <v/>
      </c>
      <c r="AR6" s="58">
        <f>MIN(AQ6*(1+Premissas!$D$10),Premissas!$D$11)</f>
        <v/>
      </c>
      <c r="AS6" s="58">
        <f>MIN(AR6*(1+Premissas!$D$10),Premissas!$D$11)</f>
        <v/>
      </c>
      <c r="AT6" s="58">
        <f>MIN(AS6*(1+Premissas!$D$10),Premissas!$D$11)</f>
        <v/>
      </c>
      <c r="AU6" s="58">
        <f>MIN(AT6*(1+Premissas!$D$10),Premissas!$D$11)</f>
        <v/>
      </c>
      <c r="AV6" s="58">
        <f>MIN(AU6*(1+Premissas!$D$10),Premissas!$D$11)</f>
        <v/>
      </c>
      <c r="AW6" s="58">
        <f>MIN(AV6*(1+Premissas!$D$10),Premissas!$D$11)</f>
        <v/>
      </c>
      <c r="AX6" s="58">
        <f>MIN(AW6*(1+Premissas!$D$10),Premissas!$D$11)</f>
        <v/>
      </c>
      <c r="AY6" s="58">
        <f>MIN(AX6*(1+Premissas!$D$10),Premissas!$D$11)</f>
        <v/>
      </c>
      <c r="AZ6" s="58">
        <f>MIN(AY6*(1+Premissas!$D$10),Premissas!$D$11)</f>
        <v/>
      </c>
      <c r="BA6" s="58">
        <f>MIN(AZ6*(1+Premissas!$D$10),Premissas!$D$11)</f>
        <v/>
      </c>
      <c r="BB6" s="58">
        <f>MIN(BA6*(1+Premissas!$D$10),Premissas!$D$11)</f>
        <v/>
      </c>
      <c r="BC6" s="58">
        <f>MIN(BB6*(1+Premissas!$D$10),Premissas!$D$11)</f>
        <v/>
      </c>
      <c r="BD6" s="58">
        <f>MIN(BC6*(1+Premissas!$D$10),Premissas!$D$11)</f>
        <v/>
      </c>
      <c r="BE6" s="58">
        <f>MIN(BD6*(1+Premissas!$D$10),Premissas!$D$11)</f>
        <v/>
      </c>
      <c r="BF6" s="58">
        <f>MIN(BE6*(1+Premissas!$D$10),Premissas!$D$11)</f>
        <v/>
      </c>
      <c r="BG6" s="58">
        <f>MIN(BF6*(1+Premissas!$D$10),Premissas!$D$11)</f>
        <v/>
      </c>
      <c r="BH6" s="58">
        <f>MIN(BG6*(1+Premissas!$D$10),Premissas!$D$11)</f>
        <v/>
      </c>
      <c r="BI6" s="58">
        <f>MIN(BH6*(1+Premissas!$D$10),Premissas!$D$11)</f>
        <v/>
      </c>
      <c r="BJ6" s="58">
        <f>MIN(BI6*(1+Premissas!$D$10),Premissas!$D$11)</f>
        <v/>
      </c>
      <c r="BK6" s="58">
        <f>MIN(BJ6*(1+Premissas!$D$10),Premissas!$D$11)</f>
        <v/>
      </c>
    </row>
    <row r="7" ht="15" customHeight="1" s="35">
      <c r="A7" s="43" t="inlineStr">
        <is>
          <t>Convertidos Starter → Pago no mês (qtd)</t>
        </is>
      </c>
      <c r="B7" s="53" t="inlineStr">
        <is>
          <t>qtd</t>
        </is>
      </c>
      <c r="C7" s="58" t="n">
        <v>0</v>
      </c>
      <c r="D7" s="58" t="n">
        <v>0</v>
      </c>
      <c r="E7" s="58">
        <f>C6*Premissas!$D$12</f>
        <v/>
      </c>
      <c r="F7" s="58">
        <f>D6*Premissas!$D$12</f>
        <v/>
      </c>
      <c r="G7" s="58">
        <f>E6*Premissas!$D$12</f>
        <v/>
      </c>
      <c r="H7" s="58">
        <f>F6*Premissas!$D$12</f>
        <v/>
      </c>
      <c r="I7" s="58">
        <f>G6*Premissas!$D$12</f>
        <v/>
      </c>
      <c r="J7" s="58">
        <f>H6*Premissas!$D$12</f>
        <v/>
      </c>
      <c r="K7" s="58">
        <f>I6*Premissas!$D$12</f>
        <v/>
      </c>
      <c r="L7" s="58">
        <f>J6*Premissas!$D$12</f>
        <v/>
      </c>
      <c r="M7" s="58">
        <f>K6*Premissas!$D$12</f>
        <v/>
      </c>
      <c r="N7" s="58">
        <f>L6*Premissas!$D$12</f>
        <v/>
      </c>
      <c r="O7" s="58">
        <f>M6*Premissas!$D$12</f>
        <v/>
      </c>
      <c r="P7" s="58">
        <f>N6*Premissas!$D$12</f>
        <v/>
      </c>
      <c r="Q7" s="58">
        <f>O6*Premissas!$D$12</f>
        <v/>
      </c>
      <c r="R7" s="58">
        <f>P6*Premissas!$D$12</f>
        <v/>
      </c>
      <c r="S7" s="58">
        <f>Q6*Premissas!$D$12</f>
        <v/>
      </c>
      <c r="T7" s="58">
        <f>R6*Premissas!$D$12</f>
        <v/>
      </c>
      <c r="U7" s="58">
        <f>S6*Premissas!$D$12</f>
        <v/>
      </c>
      <c r="V7" s="58">
        <f>T6*Premissas!$D$12</f>
        <v/>
      </c>
      <c r="W7" s="58">
        <f>U6*Premissas!$D$12</f>
        <v/>
      </c>
      <c r="X7" s="58">
        <f>V6*Premissas!$D$12</f>
        <v/>
      </c>
      <c r="Y7" s="58">
        <f>W6*Premissas!$D$12</f>
        <v/>
      </c>
      <c r="Z7" s="58">
        <f>X6*Premissas!$D$12</f>
        <v/>
      </c>
      <c r="AA7" s="58">
        <f>Y6*Premissas!$D$12</f>
        <v/>
      </c>
      <c r="AB7" s="58">
        <f>Z6*Premissas!$D$12</f>
        <v/>
      </c>
      <c r="AC7" s="58">
        <f>AA6*Premissas!$D$12</f>
        <v/>
      </c>
      <c r="AD7" s="58">
        <f>AB6*Premissas!$D$12</f>
        <v/>
      </c>
      <c r="AE7" s="58">
        <f>AC6*Premissas!$D$12</f>
        <v/>
      </c>
      <c r="AF7" s="58">
        <f>AD6*Premissas!$D$12</f>
        <v/>
      </c>
      <c r="AG7" s="58">
        <f>AE6*Premissas!$D$12</f>
        <v/>
      </c>
      <c r="AH7" s="58">
        <f>AF6*Premissas!$D$12</f>
        <v/>
      </c>
      <c r="AI7" s="58">
        <f>AG6*Premissas!$D$12</f>
        <v/>
      </c>
      <c r="AJ7" s="58">
        <f>AH6*Premissas!$D$12</f>
        <v/>
      </c>
      <c r="AK7" s="58">
        <f>AI6*Premissas!$D$12</f>
        <v/>
      </c>
      <c r="AL7" s="58">
        <f>AJ6*Premissas!$D$12</f>
        <v/>
      </c>
      <c r="AM7" s="58">
        <f>AK6*Premissas!$D$12</f>
        <v/>
      </c>
      <c r="AN7" s="58">
        <f>AL6*Premissas!$D$12</f>
        <v/>
      </c>
      <c r="AO7" s="58">
        <f>AM6*Premissas!$D$12</f>
        <v/>
      </c>
      <c r="AP7" s="58">
        <f>AN6*Premissas!$D$12</f>
        <v/>
      </c>
      <c r="AQ7" s="58">
        <f>AO6*Premissas!$D$12</f>
        <v/>
      </c>
      <c r="AR7" s="58">
        <f>AP6*Premissas!$D$12</f>
        <v/>
      </c>
      <c r="AS7" s="58">
        <f>AQ6*Premissas!$D$12</f>
        <v/>
      </c>
      <c r="AT7" s="58">
        <f>AR6*Premissas!$D$12</f>
        <v/>
      </c>
      <c r="AU7" s="58">
        <f>AS6*Premissas!$D$12</f>
        <v/>
      </c>
      <c r="AV7" s="58">
        <f>AT6*Premissas!$D$12</f>
        <v/>
      </c>
      <c r="AW7" s="58">
        <f>AU6*Premissas!$D$12</f>
        <v/>
      </c>
      <c r="AX7" s="58">
        <f>AV6*Premissas!$D$12</f>
        <v/>
      </c>
      <c r="AY7" s="58">
        <f>AW6*Premissas!$D$12</f>
        <v/>
      </c>
      <c r="AZ7" s="58">
        <f>AX6*Premissas!$D$12</f>
        <v/>
      </c>
      <c r="BA7" s="58">
        <f>AY6*Premissas!$D$12</f>
        <v/>
      </c>
      <c r="BB7" s="58">
        <f>AZ6*Premissas!$D$12</f>
        <v/>
      </c>
      <c r="BC7" s="58">
        <f>BA6*Premissas!$D$12</f>
        <v/>
      </c>
      <c r="BD7" s="58">
        <f>BB6*Premissas!$D$12</f>
        <v/>
      </c>
      <c r="BE7" s="58">
        <f>BC6*Premissas!$D$12</f>
        <v/>
      </c>
      <c r="BF7" s="58">
        <f>BD6*Premissas!$D$12</f>
        <v/>
      </c>
      <c r="BG7" s="58">
        <f>BE6*Premissas!$D$12</f>
        <v/>
      </c>
      <c r="BH7" s="58">
        <f>BF6*Premissas!$D$12</f>
        <v/>
      </c>
      <c r="BI7" s="58">
        <f>BG6*Premissas!$D$12</f>
        <v/>
      </c>
      <c r="BJ7" s="58">
        <f>BH6*Premissas!$D$12</f>
        <v/>
      </c>
      <c r="BK7" s="58">
        <f>BI6*Premissas!$D$12</f>
        <v/>
      </c>
    </row>
    <row r="8" ht="15" customHeight="1" s="35">
      <c r="A8" s="43" t="inlineStr">
        <is>
          <t>Node: Starter ativos (qtd)</t>
        </is>
      </c>
      <c r="B8" s="53" t="inlineStr">
        <is>
          <t>qtd</t>
        </is>
      </c>
      <c r="C8" s="58" t="n">
        <v>0</v>
      </c>
      <c r="D8" s="58">
        <f>C8*(1-Premissas!$D$14)+D6-D7</f>
        <v/>
      </c>
      <c r="E8" s="58">
        <f>D8*(1-Premissas!$D$14)+E6-E7</f>
        <v/>
      </c>
      <c r="F8" s="58">
        <f>E8*(1-Premissas!$D$14)+F6-F7</f>
        <v/>
      </c>
      <c r="G8" s="58">
        <f>F8*(1-Premissas!$D$14)+G6-G7</f>
        <v/>
      </c>
      <c r="H8" s="58">
        <f>G8*(1-Premissas!$D$14)+H6-H7</f>
        <v/>
      </c>
      <c r="I8" s="58">
        <f>H8*(1-Premissas!$D$14)+I6-I7</f>
        <v/>
      </c>
      <c r="J8" s="58">
        <f>I8*(1-Premissas!$D$14)+J6-J7</f>
        <v/>
      </c>
      <c r="K8" s="58">
        <f>J8*(1-Premissas!$D$14)+K6-K7</f>
        <v/>
      </c>
      <c r="L8" s="58">
        <f>K8*(1-Premissas!$D$14)+L6-L7</f>
        <v/>
      </c>
      <c r="M8" s="58">
        <f>L8*(1-Premissas!$D$14)+M6-M7</f>
        <v/>
      </c>
      <c r="N8" s="58">
        <f>M8*(1-Premissas!$D$14)+N6-N7</f>
        <v/>
      </c>
      <c r="O8" s="58">
        <f>N8*(1-Premissas!$D$14)+O6-O7</f>
        <v/>
      </c>
      <c r="P8" s="58">
        <f>O8*(1-Premissas!$D$14)+P6-P7</f>
        <v/>
      </c>
      <c r="Q8" s="58">
        <f>P8*(1-Premissas!$D$14)+Q6-Q7</f>
        <v/>
      </c>
      <c r="R8" s="58">
        <f>Q8*(1-Premissas!$D$14)+R6-R7</f>
        <v/>
      </c>
      <c r="S8" s="58">
        <f>R8*(1-Premissas!$D$14)+S6-S7</f>
        <v/>
      </c>
      <c r="T8" s="58">
        <f>S8*(1-Premissas!$D$14)+T6-T7</f>
        <v/>
      </c>
      <c r="U8" s="58">
        <f>T8*(1-Premissas!$D$14)+U6-U7</f>
        <v/>
      </c>
      <c r="V8" s="58">
        <f>U8*(1-Premissas!$D$14)+V6-V7</f>
        <v/>
      </c>
      <c r="W8" s="58">
        <f>V8*(1-Premissas!$D$14)+W6-W7</f>
        <v/>
      </c>
      <c r="X8" s="58">
        <f>W8*(1-Premissas!$D$14)+X6-X7</f>
        <v/>
      </c>
      <c r="Y8" s="58">
        <f>X8*(1-Premissas!$D$14)+Y6-Y7</f>
        <v/>
      </c>
      <c r="Z8" s="58">
        <f>Y8*(1-Premissas!$D$14)+Z6-Z7</f>
        <v/>
      </c>
      <c r="AA8" s="58">
        <f>Z8*(1-Premissas!$D$14)+AA6-AA7</f>
        <v/>
      </c>
      <c r="AB8" s="58">
        <f>AA8*(1-Premissas!$D$14)+AB6-AB7</f>
        <v/>
      </c>
      <c r="AC8" s="58">
        <f>AB8*(1-Premissas!$D$14)+AC6-AC7</f>
        <v/>
      </c>
      <c r="AD8" s="58">
        <f>AC8*(1-Premissas!$D$14)+AD6-AD7</f>
        <v/>
      </c>
      <c r="AE8" s="58">
        <f>AD8*(1-Premissas!$D$14)+AE6-AE7</f>
        <v/>
      </c>
      <c r="AF8" s="58">
        <f>AE8*(1-Premissas!$D$14)+AF6-AF7</f>
        <v/>
      </c>
      <c r="AG8" s="58">
        <f>AF8*(1-Premissas!$D$14)+AG6-AG7</f>
        <v/>
      </c>
      <c r="AH8" s="58">
        <f>AG8*(1-Premissas!$D$14)+AH6-AH7</f>
        <v/>
      </c>
      <c r="AI8" s="58">
        <f>AH8*(1-Premissas!$D$14)+AI6-AI7</f>
        <v/>
      </c>
      <c r="AJ8" s="58">
        <f>AI8*(1-Premissas!$D$14)+AJ6-AJ7</f>
        <v/>
      </c>
      <c r="AK8" s="58">
        <f>AJ8*(1-Premissas!$D$14)+AK6-AK7</f>
        <v/>
      </c>
      <c r="AL8" s="58">
        <f>AK8*(1-Premissas!$D$14)+AL6-AL7</f>
        <v/>
      </c>
      <c r="AM8" s="58">
        <f>AL8*(1-Premissas!$D$14)+AM6-AM7</f>
        <v/>
      </c>
      <c r="AN8" s="58">
        <f>AM8*(1-Premissas!$D$14)+AN6-AN7</f>
        <v/>
      </c>
      <c r="AO8" s="58">
        <f>AN8*(1-Premissas!$D$14)+AO6-AO7</f>
        <v/>
      </c>
      <c r="AP8" s="58">
        <f>AO8*(1-Premissas!$D$14)+AP6-AP7</f>
        <v/>
      </c>
      <c r="AQ8" s="58">
        <f>AP8*(1-Premissas!$D$14)+AQ6-AQ7</f>
        <v/>
      </c>
      <c r="AR8" s="58">
        <f>AQ8*(1-Premissas!$D$14)+AR6-AR7</f>
        <v/>
      </c>
      <c r="AS8" s="58">
        <f>AR8*(1-Premissas!$D$14)+AS6-AS7</f>
        <v/>
      </c>
      <c r="AT8" s="58">
        <f>AS8*(1-Premissas!$D$14)+AT6-AT7</f>
        <v/>
      </c>
      <c r="AU8" s="58">
        <f>AT8*(1-Premissas!$D$14)+AU6-AU7</f>
        <v/>
      </c>
      <c r="AV8" s="58">
        <f>AU8*(1-Premissas!$D$14)+AV6-AV7</f>
        <v/>
      </c>
      <c r="AW8" s="58">
        <f>AV8*(1-Premissas!$D$14)+AW6-AW7</f>
        <v/>
      </c>
      <c r="AX8" s="58">
        <f>AW8*(1-Premissas!$D$14)+AX6-AX7</f>
        <v/>
      </c>
      <c r="AY8" s="58">
        <f>AX8*(1-Premissas!$D$14)+AY6-AY7</f>
        <v/>
      </c>
      <c r="AZ8" s="58">
        <f>AY8*(1-Premissas!$D$14)+AZ6-AZ7</f>
        <v/>
      </c>
      <c r="BA8" s="58">
        <f>AZ8*(1-Premissas!$D$14)+BA6-BA7</f>
        <v/>
      </c>
      <c r="BB8" s="58">
        <f>BA8*(1-Premissas!$D$14)+BB6-BB7</f>
        <v/>
      </c>
      <c r="BC8" s="58">
        <f>BB8*(1-Premissas!$D$14)+BC6-BC7</f>
        <v/>
      </c>
      <c r="BD8" s="58">
        <f>BC8*(1-Premissas!$D$14)+BD6-BD7</f>
        <v/>
      </c>
      <c r="BE8" s="58">
        <f>BD8*(1-Premissas!$D$14)+BE6-BE7</f>
        <v/>
      </c>
      <c r="BF8" s="58">
        <f>BE8*(1-Premissas!$D$14)+BF6-BF7</f>
        <v/>
      </c>
      <c r="BG8" s="58">
        <f>BF8*(1-Premissas!$D$14)+BG6-BG7</f>
        <v/>
      </c>
      <c r="BH8" s="58">
        <f>BG8*(1-Premissas!$D$14)+BH6-BH7</f>
        <v/>
      </c>
      <c r="BI8" s="58">
        <f>BH8*(1-Premissas!$D$14)+BI6-BI7</f>
        <v/>
      </c>
      <c r="BJ8" s="58">
        <f>BI8*(1-Premissas!$D$14)+BJ6-BJ7</f>
        <v/>
      </c>
      <c r="BK8" s="58">
        <f>BJ8*(1-Premissas!$D$14)+BK6-BK7</f>
        <v/>
      </c>
    </row>
    <row r="9" ht="15" customHeight="1" s="35">
      <c r="A9" s="43" t="inlineStr">
        <is>
          <t>Novos pagantes Node: Pro no mês (qtd)</t>
        </is>
      </c>
      <c r="B9" s="53" t="inlineStr">
        <is>
          <t>qtd</t>
        </is>
      </c>
      <c r="C9" s="58" t="n">
        <v>0</v>
      </c>
      <c r="D9" s="58">
        <f>D7*Premissas!$D$13</f>
        <v/>
      </c>
      <c r="E9" s="58">
        <f>E7*Premissas!$D$13</f>
        <v/>
      </c>
      <c r="F9" s="58">
        <f>F7*Premissas!$D$13</f>
        <v/>
      </c>
      <c r="G9" s="58">
        <f>G7*Premissas!$D$13</f>
        <v/>
      </c>
      <c r="H9" s="58">
        <f>H7*Premissas!$D$13</f>
        <v/>
      </c>
      <c r="I9" s="58">
        <f>I7*Premissas!$D$13</f>
        <v/>
      </c>
      <c r="J9" s="58">
        <f>J7*Premissas!$D$13</f>
        <v/>
      </c>
      <c r="K9" s="58">
        <f>K7*Premissas!$D$13</f>
        <v/>
      </c>
      <c r="L9" s="58">
        <f>L7*Premissas!$D$13</f>
        <v/>
      </c>
      <c r="M9" s="58">
        <f>M7*Premissas!$D$13</f>
        <v/>
      </c>
      <c r="N9" s="58">
        <f>N7*Premissas!$D$13</f>
        <v/>
      </c>
      <c r="O9" s="58">
        <f>O7*Premissas!$D$13</f>
        <v/>
      </c>
      <c r="P9" s="58">
        <f>P7*Premissas!$D$13</f>
        <v/>
      </c>
      <c r="Q9" s="58">
        <f>Q7*Premissas!$D$13</f>
        <v/>
      </c>
      <c r="R9" s="58">
        <f>R7*Premissas!$D$13</f>
        <v/>
      </c>
      <c r="S9" s="58">
        <f>S7*Premissas!$D$13</f>
        <v/>
      </c>
      <c r="T9" s="58">
        <f>T7*Premissas!$D$13</f>
        <v/>
      </c>
      <c r="U9" s="58">
        <f>U7*Premissas!$D$13</f>
        <v/>
      </c>
      <c r="V9" s="58">
        <f>V7*Premissas!$D$13</f>
        <v/>
      </c>
      <c r="W9" s="58">
        <f>W7*Premissas!$D$13</f>
        <v/>
      </c>
      <c r="X9" s="58">
        <f>X7*Premissas!$D$13</f>
        <v/>
      </c>
      <c r="Y9" s="58">
        <f>Y7*Premissas!$D$13</f>
        <v/>
      </c>
      <c r="Z9" s="58">
        <f>Z7*Premissas!$D$13</f>
        <v/>
      </c>
      <c r="AA9" s="58">
        <f>AA7*Premissas!$D$13</f>
        <v/>
      </c>
      <c r="AB9" s="58">
        <f>AB7*Premissas!$D$13</f>
        <v/>
      </c>
      <c r="AC9" s="58">
        <f>AC7*Premissas!$D$13</f>
        <v/>
      </c>
      <c r="AD9" s="58">
        <f>AD7*Premissas!$D$13</f>
        <v/>
      </c>
      <c r="AE9" s="58">
        <f>AE7*Premissas!$D$13</f>
        <v/>
      </c>
      <c r="AF9" s="58">
        <f>AF7*Premissas!$D$13</f>
        <v/>
      </c>
      <c r="AG9" s="58">
        <f>AG7*Premissas!$D$13</f>
        <v/>
      </c>
      <c r="AH9" s="58">
        <f>AH7*Premissas!$D$13</f>
        <v/>
      </c>
      <c r="AI9" s="58">
        <f>AI7*Premissas!$D$13</f>
        <v/>
      </c>
      <c r="AJ9" s="58">
        <f>AJ7*Premissas!$D$13</f>
        <v/>
      </c>
      <c r="AK9" s="58">
        <f>AK7*Premissas!$D$13</f>
        <v/>
      </c>
      <c r="AL9" s="58">
        <f>AL7*Premissas!$D$13</f>
        <v/>
      </c>
      <c r="AM9" s="58">
        <f>AM7*Premissas!$D$13</f>
        <v/>
      </c>
      <c r="AN9" s="58">
        <f>AN7*Premissas!$D$13</f>
        <v/>
      </c>
      <c r="AO9" s="58">
        <f>AO7*Premissas!$D$13</f>
        <v/>
      </c>
      <c r="AP9" s="58">
        <f>AP7*Premissas!$D$13</f>
        <v/>
      </c>
      <c r="AQ9" s="58">
        <f>AQ7*Premissas!$D$13</f>
        <v/>
      </c>
      <c r="AR9" s="58">
        <f>AR7*Premissas!$D$13</f>
        <v/>
      </c>
      <c r="AS9" s="58">
        <f>AS7*Premissas!$D$13</f>
        <v/>
      </c>
      <c r="AT9" s="58">
        <f>AT7*Premissas!$D$13</f>
        <v/>
      </c>
      <c r="AU9" s="58">
        <f>AU7*Premissas!$D$13</f>
        <v/>
      </c>
      <c r="AV9" s="58">
        <f>AV7*Premissas!$D$13</f>
        <v/>
      </c>
      <c r="AW9" s="58">
        <f>AW7*Premissas!$D$13</f>
        <v/>
      </c>
      <c r="AX9" s="58">
        <f>AX7*Premissas!$D$13</f>
        <v/>
      </c>
      <c r="AY9" s="58">
        <f>AY7*Premissas!$D$13</f>
        <v/>
      </c>
      <c r="AZ9" s="58">
        <f>AZ7*Premissas!$D$13</f>
        <v/>
      </c>
      <c r="BA9" s="58">
        <f>BA7*Premissas!$D$13</f>
        <v/>
      </c>
      <c r="BB9" s="58">
        <f>BB7*Premissas!$D$13</f>
        <v/>
      </c>
      <c r="BC9" s="58">
        <f>BC7*Premissas!$D$13</f>
        <v/>
      </c>
      <c r="BD9" s="58">
        <f>BD7*Premissas!$D$13</f>
        <v/>
      </c>
      <c r="BE9" s="58">
        <f>BE7*Premissas!$D$13</f>
        <v/>
      </c>
      <c r="BF9" s="58">
        <f>BF7*Premissas!$D$13</f>
        <v/>
      </c>
      <c r="BG9" s="58">
        <f>BG7*Premissas!$D$13</f>
        <v/>
      </c>
      <c r="BH9" s="58">
        <f>BH7*Premissas!$D$13</f>
        <v/>
      </c>
      <c r="BI9" s="58">
        <f>BI7*Premissas!$D$13</f>
        <v/>
      </c>
      <c r="BJ9" s="58">
        <f>BJ7*Premissas!$D$13</f>
        <v/>
      </c>
      <c r="BK9" s="58">
        <f>BK7*Premissas!$D$13</f>
        <v/>
      </c>
    </row>
    <row r="10" ht="15" customHeight="1" s="35">
      <c r="A10" s="43" t="inlineStr">
        <is>
          <t>Novos pagantes Node: Institutional no mês (qtd)</t>
        </is>
      </c>
      <c r="B10" s="53" t="inlineStr">
        <is>
          <t>qtd</t>
        </is>
      </c>
      <c r="C10" s="58" t="n">
        <v>0</v>
      </c>
      <c r="D10" s="58">
        <f>D7*(1-Premissas!$D$13)</f>
        <v/>
      </c>
      <c r="E10" s="58">
        <f>E7*(1-Premissas!$D$13)</f>
        <v/>
      </c>
      <c r="F10" s="58">
        <f>F7*(1-Premissas!$D$13)</f>
        <v/>
      </c>
      <c r="G10" s="58">
        <f>G7*(1-Premissas!$D$13)</f>
        <v/>
      </c>
      <c r="H10" s="58">
        <f>H7*(1-Premissas!$D$13)</f>
        <v/>
      </c>
      <c r="I10" s="58">
        <f>I7*(1-Premissas!$D$13)</f>
        <v/>
      </c>
      <c r="J10" s="58">
        <f>J7*(1-Premissas!$D$13)</f>
        <v/>
      </c>
      <c r="K10" s="58">
        <f>K7*(1-Premissas!$D$13)</f>
        <v/>
      </c>
      <c r="L10" s="58">
        <f>L7*(1-Premissas!$D$13)</f>
        <v/>
      </c>
      <c r="M10" s="58">
        <f>M7*(1-Premissas!$D$13)</f>
        <v/>
      </c>
      <c r="N10" s="58">
        <f>N7*(1-Premissas!$D$13)</f>
        <v/>
      </c>
      <c r="O10" s="58">
        <f>O7*(1-Premissas!$D$13)</f>
        <v/>
      </c>
      <c r="P10" s="58">
        <f>P7*(1-Premissas!$D$13)</f>
        <v/>
      </c>
      <c r="Q10" s="58">
        <f>Q7*(1-Premissas!$D$13)</f>
        <v/>
      </c>
      <c r="R10" s="58">
        <f>R7*(1-Premissas!$D$13)</f>
        <v/>
      </c>
      <c r="S10" s="58">
        <f>S7*(1-Premissas!$D$13)</f>
        <v/>
      </c>
      <c r="T10" s="58">
        <f>T7*(1-Premissas!$D$13)</f>
        <v/>
      </c>
      <c r="U10" s="58">
        <f>U7*(1-Premissas!$D$13)</f>
        <v/>
      </c>
      <c r="V10" s="58">
        <f>V7*(1-Premissas!$D$13)</f>
        <v/>
      </c>
      <c r="W10" s="58">
        <f>W7*(1-Premissas!$D$13)</f>
        <v/>
      </c>
      <c r="X10" s="58">
        <f>X7*(1-Premissas!$D$13)</f>
        <v/>
      </c>
      <c r="Y10" s="58">
        <f>Y7*(1-Premissas!$D$13)</f>
        <v/>
      </c>
      <c r="Z10" s="58">
        <f>Z7*(1-Premissas!$D$13)</f>
        <v/>
      </c>
      <c r="AA10" s="58">
        <f>AA7*(1-Premissas!$D$13)</f>
        <v/>
      </c>
      <c r="AB10" s="58">
        <f>AB7*(1-Premissas!$D$13)</f>
        <v/>
      </c>
      <c r="AC10" s="58">
        <f>AC7*(1-Premissas!$D$13)</f>
        <v/>
      </c>
      <c r="AD10" s="58">
        <f>AD7*(1-Premissas!$D$13)</f>
        <v/>
      </c>
      <c r="AE10" s="58">
        <f>AE7*(1-Premissas!$D$13)</f>
        <v/>
      </c>
      <c r="AF10" s="58">
        <f>AF7*(1-Premissas!$D$13)</f>
        <v/>
      </c>
      <c r="AG10" s="58">
        <f>AG7*(1-Premissas!$D$13)</f>
        <v/>
      </c>
      <c r="AH10" s="58">
        <f>AH7*(1-Premissas!$D$13)</f>
        <v/>
      </c>
      <c r="AI10" s="58">
        <f>AI7*(1-Premissas!$D$13)</f>
        <v/>
      </c>
      <c r="AJ10" s="58">
        <f>AJ7*(1-Premissas!$D$13)</f>
        <v/>
      </c>
      <c r="AK10" s="58">
        <f>AK7*(1-Premissas!$D$13)</f>
        <v/>
      </c>
      <c r="AL10" s="58">
        <f>AL7*(1-Premissas!$D$13)</f>
        <v/>
      </c>
      <c r="AM10" s="58">
        <f>AM7*(1-Premissas!$D$13)</f>
        <v/>
      </c>
      <c r="AN10" s="58">
        <f>AN7*(1-Premissas!$D$13)</f>
        <v/>
      </c>
      <c r="AO10" s="58">
        <f>AO7*(1-Premissas!$D$13)</f>
        <v/>
      </c>
      <c r="AP10" s="58">
        <f>AP7*(1-Premissas!$D$13)</f>
        <v/>
      </c>
      <c r="AQ10" s="58">
        <f>AQ7*(1-Premissas!$D$13)</f>
        <v/>
      </c>
      <c r="AR10" s="58">
        <f>AR7*(1-Premissas!$D$13)</f>
        <v/>
      </c>
      <c r="AS10" s="58">
        <f>AS7*(1-Premissas!$D$13)</f>
        <v/>
      </c>
      <c r="AT10" s="58">
        <f>AT7*(1-Premissas!$D$13)</f>
        <v/>
      </c>
      <c r="AU10" s="58">
        <f>AU7*(1-Premissas!$D$13)</f>
        <v/>
      </c>
      <c r="AV10" s="58">
        <f>AV7*(1-Premissas!$D$13)</f>
        <v/>
      </c>
      <c r="AW10" s="58">
        <f>AW7*(1-Premissas!$D$13)</f>
        <v/>
      </c>
      <c r="AX10" s="58">
        <f>AX7*(1-Premissas!$D$13)</f>
        <v/>
      </c>
      <c r="AY10" s="58">
        <f>AY7*(1-Premissas!$D$13)</f>
        <v/>
      </c>
      <c r="AZ10" s="58">
        <f>AZ7*(1-Premissas!$D$13)</f>
        <v/>
      </c>
      <c r="BA10" s="58">
        <f>BA7*(1-Premissas!$D$13)</f>
        <v/>
      </c>
      <c r="BB10" s="58">
        <f>BB7*(1-Premissas!$D$13)</f>
        <v/>
      </c>
      <c r="BC10" s="58">
        <f>BC7*(1-Premissas!$D$13)</f>
        <v/>
      </c>
      <c r="BD10" s="58">
        <f>BD7*(1-Premissas!$D$13)</f>
        <v/>
      </c>
      <c r="BE10" s="58">
        <f>BE7*(1-Premissas!$D$13)</f>
        <v/>
      </c>
      <c r="BF10" s="58">
        <f>BF7*(1-Premissas!$D$13)</f>
        <v/>
      </c>
      <c r="BG10" s="58">
        <f>BG7*(1-Premissas!$D$13)</f>
        <v/>
      </c>
      <c r="BH10" s="58">
        <f>BH7*(1-Premissas!$D$13)</f>
        <v/>
      </c>
      <c r="BI10" s="58">
        <f>BI7*(1-Premissas!$D$13)</f>
        <v/>
      </c>
      <c r="BJ10" s="58">
        <f>BJ7*(1-Premissas!$D$13)</f>
        <v/>
      </c>
      <c r="BK10" s="58">
        <f>BK7*(1-Premissas!$D$13)</f>
        <v/>
      </c>
    </row>
    <row r="11" ht="15" customHeight="1" s="35">
      <c r="A11" s="43" t="inlineStr">
        <is>
          <t>Node: Pro ativos (qtd)</t>
        </is>
      </c>
      <c r="B11" s="53" t="inlineStr">
        <is>
          <t>qtd</t>
        </is>
      </c>
      <c r="C11" s="58" t="n">
        <v>0</v>
      </c>
      <c r="D11" s="58">
        <f>C11*(1-Premissas!$D$15)+D9</f>
        <v/>
      </c>
      <c r="E11" s="58">
        <f>D11*(1-Premissas!$D$15)+E9</f>
        <v/>
      </c>
      <c r="F11" s="58">
        <f>E11*(1-Premissas!$D$15)+F9</f>
        <v/>
      </c>
      <c r="G11" s="58">
        <f>F11*(1-Premissas!$D$15)+G9</f>
        <v/>
      </c>
      <c r="H11" s="58">
        <f>G11*(1-Premissas!$D$15)+H9</f>
        <v/>
      </c>
      <c r="I11" s="58">
        <f>H11*(1-Premissas!$D$15)+I9</f>
        <v/>
      </c>
      <c r="J11" s="58">
        <f>I11*(1-Premissas!$D$15)+J9</f>
        <v/>
      </c>
      <c r="K11" s="58">
        <f>J11*(1-Premissas!$D$15)+K9</f>
        <v/>
      </c>
      <c r="L11" s="58">
        <f>K11*(1-Premissas!$D$15)+L9</f>
        <v/>
      </c>
      <c r="M11" s="58">
        <f>L11*(1-Premissas!$D$15)+M9</f>
        <v/>
      </c>
      <c r="N11" s="58">
        <f>M11*(1-Premissas!$D$15)+N9</f>
        <v/>
      </c>
      <c r="O11" s="58">
        <f>N11*(1-Premissas!$D$15)+O9</f>
        <v/>
      </c>
      <c r="P11" s="58">
        <f>O11*(1-Premissas!$D$15)+P9</f>
        <v/>
      </c>
      <c r="Q11" s="58">
        <f>P11*(1-Premissas!$D$15)+Q9</f>
        <v/>
      </c>
      <c r="R11" s="58">
        <f>Q11*(1-Premissas!$D$15)+R9</f>
        <v/>
      </c>
      <c r="S11" s="58">
        <f>R11*(1-Premissas!$D$15)+S9</f>
        <v/>
      </c>
      <c r="T11" s="58">
        <f>S11*(1-Premissas!$D$15)+T9</f>
        <v/>
      </c>
      <c r="U11" s="58">
        <f>T11*(1-Premissas!$D$15)+U9</f>
        <v/>
      </c>
      <c r="V11" s="58">
        <f>U11*(1-Premissas!$D$15)+V9</f>
        <v/>
      </c>
      <c r="W11" s="58">
        <f>V11*(1-Premissas!$D$15)+W9</f>
        <v/>
      </c>
      <c r="X11" s="58">
        <f>W11*(1-Premissas!$D$15)+X9</f>
        <v/>
      </c>
      <c r="Y11" s="58">
        <f>X11*(1-Premissas!$D$15)+Y9</f>
        <v/>
      </c>
      <c r="Z11" s="58">
        <f>Y11*(1-Premissas!$D$15)+Z9</f>
        <v/>
      </c>
      <c r="AA11" s="58">
        <f>Z11*(1-Premissas!$D$15)+AA9</f>
        <v/>
      </c>
      <c r="AB11" s="58">
        <f>AA11*(1-Premissas!$D$15)+AB9</f>
        <v/>
      </c>
      <c r="AC11" s="58">
        <f>AB11*(1-Premissas!$D$15)+AC9</f>
        <v/>
      </c>
      <c r="AD11" s="58">
        <f>AC11*(1-Premissas!$D$15)+AD9</f>
        <v/>
      </c>
      <c r="AE11" s="58">
        <f>AD11*(1-Premissas!$D$15)+AE9</f>
        <v/>
      </c>
      <c r="AF11" s="58">
        <f>AE11*(1-Premissas!$D$15)+AF9</f>
        <v/>
      </c>
      <c r="AG11" s="58">
        <f>AF11*(1-Premissas!$D$15)+AG9</f>
        <v/>
      </c>
      <c r="AH11" s="58">
        <f>AG11*(1-Premissas!$D$15)+AH9</f>
        <v/>
      </c>
      <c r="AI11" s="58">
        <f>AH11*(1-Premissas!$D$15)+AI9</f>
        <v/>
      </c>
      <c r="AJ11" s="58">
        <f>AI11*(1-Premissas!$D$15)+AJ9</f>
        <v/>
      </c>
      <c r="AK11" s="58">
        <f>AJ11*(1-Premissas!$D$15)+AK9</f>
        <v/>
      </c>
      <c r="AL11" s="58">
        <f>AK11*(1-Premissas!$D$15)+AL9</f>
        <v/>
      </c>
      <c r="AM11" s="58">
        <f>AL11*(1-Premissas!$D$15)+AM9</f>
        <v/>
      </c>
      <c r="AN11" s="58">
        <f>AM11*(1-Premissas!$D$15)+AN9</f>
        <v/>
      </c>
      <c r="AO11" s="58">
        <f>AN11*(1-Premissas!$D$15)+AO9</f>
        <v/>
      </c>
      <c r="AP11" s="58">
        <f>AO11*(1-Premissas!$D$15)+AP9</f>
        <v/>
      </c>
      <c r="AQ11" s="58">
        <f>AP11*(1-Premissas!$D$15)+AQ9</f>
        <v/>
      </c>
      <c r="AR11" s="58">
        <f>AQ11*(1-Premissas!$D$15)+AR9</f>
        <v/>
      </c>
      <c r="AS11" s="58">
        <f>AR11*(1-Premissas!$D$15)+AS9</f>
        <v/>
      </c>
      <c r="AT11" s="58">
        <f>AS11*(1-Premissas!$D$15)+AT9</f>
        <v/>
      </c>
      <c r="AU11" s="58">
        <f>AT11*(1-Premissas!$D$15)+AU9</f>
        <v/>
      </c>
      <c r="AV11" s="58">
        <f>AU11*(1-Premissas!$D$15)+AV9</f>
        <v/>
      </c>
      <c r="AW11" s="58">
        <f>AV11*(1-Premissas!$D$15)+AW9</f>
        <v/>
      </c>
      <c r="AX11" s="58">
        <f>AW11*(1-Premissas!$D$15)+AX9</f>
        <v/>
      </c>
      <c r="AY11" s="58">
        <f>AX11*(1-Premissas!$D$15)+AY9</f>
        <v/>
      </c>
      <c r="AZ11" s="58">
        <f>AY11*(1-Premissas!$D$15)+AZ9</f>
        <v/>
      </c>
      <c r="BA11" s="58">
        <f>AZ11*(1-Premissas!$D$15)+BA9</f>
        <v/>
      </c>
      <c r="BB11" s="58">
        <f>BA11*(1-Premissas!$D$15)+BB9</f>
        <v/>
      </c>
      <c r="BC11" s="58">
        <f>BB11*(1-Premissas!$D$15)+BC9</f>
        <v/>
      </c>
      <c r="BD11" s="58">
        <f>BC11*(1-Premissas!$D$15)+BD9</f>
        <v/>
      </c>
      <c r="BE11" s="58">
        <f>BD11*(1-Premissas!$D$15)+BE9</f>
        <v/>
      </c>
      <c r="BF11" s="58">
        <f>BE11*(1-Premissas!$D$15)+BF9</f>
        <v/>
      </c>
      <c r="BG11" s="58">
        <f>BF11*(1-Premissas!$D$15)+BG9</f>
        <v/>
      </c>
      <c r="BH11" s="58">
        <f>BG11*(1-Premissas!$D$15)+BH9</f>
        <v/>
      </c>
      <c r="BI11" s="58">
        <f>BH11*(1-Premissas!$D$15)+BI9</f>
        <v/>
      </c>
      <c r="BJ11" s="58">
        <f>BI11*(1-Premissas!$D$15)+BJ9</f>
        <v/>
      </c>
      <c r="BK11" s="58">
        <f>BJ11*(1-Premissas!$D$15)+BK9</f>
        <v/>
      </c>
    </row>
    <row r="12" ht="15" customHeight="1" s="35">
      <c r="A12" s="43" t="inlineStr">
        <is>
          <t>Node: Institutional ativos (qtd)</t>
        </is>
      </c>
      <c r="B12" s="53" t="inlineStr">
        <is>
          <t>qtd</t>
        </is>
      </c>
      <c r="C12" s="58" t="n">
        <v>0</v>
      </c>
      <c r="D12" s="58">
        <f>C12*(1-Premissas!$D$15)+D10</f>
        <v/>
      </c>
      <c r="E12" s="58">
        <f>D12*(1-Premissas!$D$15)+E10</f>
        <v/>
      </c>
      <c r="F12" s="58">
        <f>E12*(1-Premissas!$D$15)+F10</f>
        <v/>
      </c>
      <c r="G12" s="58">
        <f>F12*(1-Premissas!$D$15)+G10</f>
        <v/>
      </c>
      <c r="H12" s="58">
        <f>G12*(1-Premissas!$D$15)+H10</f>
        <v/>
      </c>
      <c r="I12" s="58">
        <f>H12*(1-Premissas!$D$15)+I10</f>
        <v/>
      </c>
      <c r="J12" s="58">
        <f>I12*(1-Premissas!$D$15)+J10</f>
        <v/>
      </c>
      <c r="K12" s="58">
        <f>J12*(1-Premissas!$D$15)+K10</f>
        <v/>
      </c>
      <c r="L12" s="58">
        <f>K12*(1-Premissas!$D$15)+L10</f>
        <v/>
      </c>
      <c r="M12" s="58">
        <f>L12*(1-Premissas!$D$15)+M10</f>
        <v/>
      </c>
      <c r="N12" s="58">
        <f>M12*(1-Premissas!$D$15)+N10</f>
        <v/>
      </c>
      <c r="O12" s="58">
        <f>N12*(1-Premissas!$D$15)+O10</f>
        <v/>
      </c>
      <c r="P12" s="58">
        <f>O12*(1-Premissas!$D$15)+P10</f>
        <v/>
      </c>
      <c r="Q12" s="58">
        <f>P12*(1-Premissas!$D$15)+Q10</f>
        <v/>
      </c>
      <c r="R12" s="58">
        <f>Q12*(1-Premissas!$D$15)+R10</f>
        <v/>
      </c>
      <c r="S12" s="58">
        <f>R12*(1-Premissas!$D$15)+S10</f>
        <v/>
      </c>
      <c r="T12" s="58">
        <f>S12*(1-Premissas!$D$15)+T10</f>
        <v/>
      </c>
      <c r="U12" s="58">
        <f>T12*(1-Premissas!$D$15)+U10</f>
        <v/>
      </c>
      <c r="V12" s="58">
        <f>U12*(1-Premissas!$D$15)+V10</f>
        <v/>
      </c>
      <c r="W12" s="58">
        <f>V12*(1-Premissas!$D$15)+W10</f>
        <v/>
      </c>
      <c r="X12" s="58">
        <f>W12*(1-Premissas!$D$15)+X10</f>
        <v/>
      </c>
      <c r="Y12" s="58">
        <f>X12*(1-Premissas!$D$15)+Y10</f>
        <v/>
      </c>
      <c r="Z12" s="58">
        <f>Y12*(1-Premissas!$D$15)+Z10</f>
        <v/>
      </c>
      <c r="AA12" s="58">
        <f>Z12*(1-Premissas!$D$15)+AA10</f>
        <v/>
      </c>
      <c r="AB12" s="58">
        <f>AA12*(1-Premissas!$D$15)+AB10</f>
        <v/>
      </c>
      <c r="AC12" s="58">
        <f>AB12*(1-Premissas!$D$15)+AC10</f>
        <v/>
      </c>
      <c r="AD12" s="58">
        <f>AC12*(1-Premissas!$D$15)+AD10</f>
        <v/>
      </c>
      <c r="AE12" s="58">
        <f>AD12*(1-Premissas!$D$15)+AE10</f>
        <v/>
      </c>
      <c r="AF12" s="58">
        <f>AE12*(1-Premissas!$D$15)+AF10</f>
        <v/>
      </c>
      <c r="AG12" s="58">
        <f>AF12*(1-Premissas!$D$15)+AG10</f>
        <v/>
      </c>
      <c r="AH12" s="58">
        <f>AG12*(1-Premissas!$D$15)+AH10</f>
        <v/>
      </c>
      <c r="AI12" s="58">
        <f>AH12*(1-Premissas!$D$15)+AI10</f>
        <v/>
      </c>
      <c r="AJ12" s="58">
        <f>AI12*(1-Premissas!$D$15)+AJ10</f>
        <v/>
      </c>
      <c r="AK12" s="58">
        <f>AJ12*(1-Premissas!$D$15)+AK10</f>
        <v/>
      </c>
      <c r="AL12" s="58">
        <f>AK12*(1-Premissas!$D$15)+AL10</f>
        <v/>
      </c>
      <c r="AM12" s="58">
        <f>AL12*(1-Premissas!$D$15)+AM10</f>
        <v/>
      </c>
      <c r="AN12" s="58">
        <f>AM12*(1-Premissas!$D$15)+AN10</f>
        <v/>
      </c>
      <c r="AO12" s="58">
        <f>AN12*(1-Premissas!$D$15)+AO10</f>
        <v/>
      </c>
      <c r="AP12" s="58">
        <f>AO12*(1-Premissas!$D$15)+AP10</f>
        <v/>
      </c>
      <c r="AQ12" s="58">
        <f>AP12*(1-Premissas!$D$15)+AQ10</f>
        <v/>
      </c>
      <c r="AR12" s="58">
        <f>AQ12*(1-Premissas!$D$15)+AR10</f>
        <v/>
      </c>
      <c r="AS12" s="58">
        <f>AR12*(1-Premissas!$D$15)+AS10</f>
        <v/>
      </c>
      <c r="AT12" s="58">
        <f>AS12*(1-Premissas!$D$15)+AT10</f>
        <v/>
      </c>
      <c r="AU12" s="58">
        <f>AT12*(1-Premissas!$D$15)+AU10</f>
        <v/>
      </c>
      <c r="AV12" s="58">
        <f>AU12*(1-Premissas!$D$15)+AV10</f>
        <v/>
      </c>
      <c r="AW12" s="58">
        <f>AV12*(1-Premissas!$D$15)+AW10</f>
        <v/>
      </c>
      <c r="AX12" s="58">
        <f>AW12*(1-Premissas!$D$15)+AX10</f>
        <v/>
      </c>
      <c r="AY12" s="58">
        <f>AX12*(1-Premissas!$D$15)+AY10</f>
        <v/>
      </c>
      <c r="AZ12" s="58">
        <f>AY12*(1-Premissas!$D$15)+AZ10</f>
        <v/>
      </c>
      <c r="BA12" s="58">
        <f>AZ12*(1-Premissas!$D$15)+BA10</f>
        <v/>
      </c>
      <c r="BB12" s="58">
        <f>BA12*(1-Premissas!$D$15)+BB10</f>
        <v/>
      </c>
      <c r="BC12" s="58">
        <f>BB12*(1-Premissas!$D$15)+BC10</f>
        <v/>
      </c>
      <c r="BD12" s="58">
        <f>BC12*(1-Premissas!$D$15)+BD10</f>
        <v/>
      </c>
      <c r="BE12" s="58">
        <f>BD12*(1-Premissas!$D$15)+BE10</f>
        <v/>
      </c>
      <c r="BF12" s="58">
        <f>BE12*(1-Premissas!$D$15)+BF10</f>
        <v/>
      </c>
      <c r="BG12" s="58">
        <f>BF12*(1-Premissas!$D$15)+BG10</f>
        <v/>
      </c>
      <c r="BH12" s="58">
        <f>BG12*(1-Premissas!$D$15)+BH10</f>
        <v/>
      </c>
      <c r="BI12" s="58">
        <f>BH12*(1-Premissas!$D$15)+BI10</f>
        <v/>
      </c>
      <c r="BJ12" s="58">
        <f>BI12*(1-Premissas!$D$15)+BJ10</f>
        <v/>
      </c>
      <c r="BK12" s="58">
        <f>BJ12*(1-Premissas!$D$15)+BK10</f>
        <v/>
      </c>
    </row>
    <row r="13" ht="15" customHeight="1" s="35">
      <c r="A13" s="47" t="inlineStr">
        <is>
          <t>Total pagantes ativos — Pro + Institutional (qtd)</t>
        </is>
      </c>
      <c r="B13" s="53" t="inlineStr">
        <is>
          <t>qtd</t>
        </is>
      </c>
      <c r="C13" s="59" t="n">
        <v>0</v>
      </c>
      <c r="D13" s="59">
        <f>D11+D12</f>
        <v/>
      </c>
      <c r="E13" s="59">
        <f>E11+E12</f>
        <v/>
      </c>
      <c r="F13" s="59">
        <f>F11+F12</f>
        <v/>
      </c>
      <c r="G13" s="59">
        <f>G11+G12</f>
        <v/>
      </c>
      <c r="H13" s="59">
        <f>H11+H12</f>
        <v/>
      </c>
      <c r="I13" s="59">
        <f>I11+I12</f>
        <v/>
      </c>
      <c r="J13" s="59">
        <f>J11+J12</f>
        <v/>
      </c>
      <c r="K13" s="59">
        <f>K11+K12</f>
        <v/>
      </c>
      <c r="L13" s="59">
        <f>L11+L12</f>
        <v/>
      </c>
      <c r="M13" s="59">
        <f>M11+M12</f>
        <v/>
      </c>
      <c r="N13" s="59">
        <f>N11+N12</f>
        <v/>
      </c>
      <c r="O13" s="59">
        <f>O11+O12</f>
        <v/>
      </c>
      <c r="P13" s="59">
        <f>P11+P12</f>
        <v/>
      </c>
      <c r="Q13" s="59">
        <f>Q11+Q12</f>
        <v/>
      </c>
      <c r="R13" s="59">
        <f>R11+R12</f>
        <v/>
      </c>
      <c r="S13" s="59">
        <f>S11+S12</f>
        <v/>
      </c>
      <c r="T13" s="59">
        <f>T11+T12</f>
        <v/>
      </c>
      <c r="U13" s="59">
        <f>U11+U12</f>
        <v/>
      </c>
      <c r="V13" s="59">
        <f>V11+V12</f>
        <v/>
      </c>
      <c r="W13" s="59">
        <f>W11+W12</f>
        <v/>
      </c>
      <c r="X13" s="59">
        <f>X11+X12</f>
        <v/>
      </c>
      <c r="Y13" s="59">
        <f>Y11+Y12</f>
        <v/>
      </c>
      <c r="Z13" s="59">
        <f>Z11+Z12</f>
        <v/>
      </c>
      <c r="AA13" s="59">
        <f>AA11+AA12</f>
        <v/>
      </c>
      <c r="AB13" s="59">
        <f>AB11+AB12</f>
        <v/>
      </c>
      <c r="AC13" s="59">
        <f>AC11+AC12</f>
        <v/>
      </c>
      <c r="AD13" s="59">
        <f>AD11+AD12</f>
        <v/>
      </c>
      <c r="AE13" s="59">
        <f>AE11+AE12</f>
        <v/>
      </c>
      <c r="AF13" s="59">
        <f>AF11+AF12</f>
        <v/>
      </c>
      <c r="AG13" s="59">
        <f>AG11+AG12</f>
        <v/>
      </c>
      <c r="AH13" s="59">
        <f>AH11+AH12</f>
        <v/>
      </c>
      <c r="AI13" s="59">
        <f>AI11+AI12</f>
        <v/>
      </c>
      <c r="AJ13" s="59">
        <f>AJ11+AJ12</f>
        <v/>
      </c>
      <c r="AK13" s="59">
        <f>AK11+AK12</f>
        <v/>
      </c>
      <c r="AL13" s="59">
        <f>AL11+AL12</f>
        <v/>
      </c>
      <c r="AM13" s="59">
        <f>AM11+AM12</f>
        <v/>
      </c>
      <c r="AN13" s="59">
        <f>AN11+AN12</f>
        <v/>
      </c>
      <c r="AO13" s="59">
        <f>AO11+AO12</f>
        <v/>
      </c>
      <c r="AP13" s="59">
        <f>AP11+AP12</f>
        <v/>
      </c>
      <c r="AQ13" s="59">
        <f>AQ11+AQ12</f>
        <v/>
      </c>
      <c r="AR13" s="59">
        <f>AR11+AR12</f>
        <v/>
      </c>
      <c r="AS13" s="59">
        <f>AS11+AS12</f>
        <v/>
      </c>
      <c r="AT13" s="59">
        <f>AT11+AT12</f>
        <v/>
      </c>
      <c r="AU13" s="59">
        <f>AU11+AU12</f>
        <v/>
      </c>
      <c r="AV13" s="59">
        <f>AV11+AV12</f>
        <v/>
      </c>
      <c r="AW13" s="59">
        <f>AW11+AW12</f>
        <v/>
      </c>
      <c r="AX13" s="59">
        <f>AX11+AX12</f>
        <v/>
      </c>
      <c r="AY13" s="59">
        <f>AY11+AY12</f>
        <v/>
      </c>
      <c r="AZ13" s="59">
        <f>AZ11+AZ12</f>
        <v/>
      </c>
      <c r="BA13" s="59">
        <f>BA11+BA12</f>
        <v/>
      </c>
      <c r="BB13" s="59">
        <f>BB11+BB12</f>
        <v/>
      </c>
      <c r="BC13" s="59">
        <f>BC11+BC12</f>
        <v/>
      </c>
      <c r="BD13" s="59">
        <f>BD11+BD12</f>
        <v/>
      </c>
      <c r="BE13" s="59">
        <f>BE11+BE12</f>
        <v/>
      </c>
      <c r="BF13" s="59">
        <f>BF11+BF12</f>
        <v/>
      </c>
      <c r="BG13" s="59">
        <f>BG11+BG12</f>
        <v/>
      </c>
      <c r="BH13" s="59">
        <f>BH11+BH12</f>
        <v/>
      </c>
      <c r="BI13" s="59">
        <f>BI11+BI12</f>
        <v/>
      </c>
      <c r="BJ13" s="59">
        <f>BJ11+BJ12</f>
        <v/>
      </c>
      <c r="BK13" s="59">
        <f>BK11+BK12</f>
        <v/>
      </c>
    </row>
    <row r="14" ht="15" customHeight="1" s="35">
      <c r="A14" s="47" t="inlineStr">
        <is>
          <t>Total usuários ativos — Starter + pagantes (qtd)</t>
        </is>
      </c>
      <c r="B14" s="53" t="inlineStr">
        <is>
          <t>qtd</t>
        </is>
      </c>
      <c r="C14" s="59" t="n">
        <v>0</v>
      </c>
      <c r="D14" s="59">
        <f>D8+D13</f>
        <v/>
      </c>
      <c r="E14" s="59">
        <f>E8+E13</f>
        <v/>
      </c>
      <c r="F14" s="59">
        <f>F8+F13</f>
        <v/>
      </c>
      <c r="G14" s="59">
        <f>G8+G13</f>
        <v/>
      </c>
      <c r="H14" s="59">
        <f>H8+H13</f>
        <v/>
      </c>
      <c r="I14" s="59">
        <f>I8+I13</f>
        <v/>
      </c>
      <c r="J14" s="59">
        <f>J8+J13</f>
        <v/>
      </c>
      <c r="K14" s="59">
        <f>K8+K13</f>
        <v/>
      </c>
      <c r="L14" s="59">
        <f>L8+L13</f>
        <v/>
      </c>
      <c r="M14" s="59">
        <f>M8+M13</f>
        <v/>
      </c>
      <c r="N14" s="59">
        <f>N8+N13</f>
        <v/>
      </c>
      <c r="O14" s="59">
        <f>O8+O13</f>
        <v/>
      </c>
      <c r="P14" s="59">
        <f>P8+P13</f>
        <v/>
      </c>
      <c r="Q14" s="59">
        <f>Q8+Q13</f>
        <v/>
      </c>
      <c r="R14" s="59">
        <f>R8+R13</f>
        <v/>
      </c>
      <c r="S14" s="59">
        <f>S8+S13</f>
        <v/>
      </c>
      <c r="T14" s="59">
        <f>T8+T13</f>
        <v/>
      </c>
      <c r="U14" s="59">
        <f>U8+U13</f>
        <v/>
      </c>
      <c r="V14" s="59">
        <f>V8+V13</f>
        <v/>
      </c>
      <c r="W14" s="59">
        <f>W8+W13</f>
        <v/>
      </c>
      <c r="X14" s="59">
        <f>X8+X13</f>
        <v/>
      </c>
      <c r="Y14" s="59">
        <f>Y8+Y13</f>
        <v/>
      </c>
      <c r="Z14" s="59">
        <f>Z8+Z13</f>
        <v/>
      </c>
      <c r="AA14" s="59">
        <f>AA8+AA13</f>
        <v/>
      </c>
      <c r="AB14" s="59">
        <f>AB8+AB13</f>
        <v/>
      </c>
      <c r="AC14" s="59">
        <f>AC8+AC13</f>
        <v/>
      </c>
      <c r="AD14" s="59">
        <f>AD8+AD13</f>
        <v/>
      </c>
      <c r="AE14" s="59">
        <f>AE8+AE13</f>
        <v/>
      </c>
      <c r="AF14" s="59">
        <f>AF8+AF13</f>
        <v/>
      </c>
      <c r="AG14" s="59">
        <f>AG8+AG13</f>
        <v/>
      </c>
      <c r="AH14" s="59">
        <f>AH8+AH13</f>
        <v/>
      </c>
      <c r="AI14" s="59">
        <f>AI8+AI13</f>
        <v/>
      </c>
      <c r="AJ14" s="59">
        <f>AJ8+AJ13</f>
        <v/>
      </c>
      <c r="AK14" s="59">
        <f>AK8+AK13</f>
        <v/>
      </c>
      <c r="AL14" s="59">
        <f>AL8+AL13</f>
        <v/>
      </c>
      <c r="AM14" s="59">
        <f>AM8+AM13</f>
        <v/>
      </c>
      <c r="AN14" s="59">
        <f>AN8+AN13</f>
        <v/>
      </c>
      <c r="AO14" s="59">
        <f>AO8+AO13</f>
        <v/>
      </c>
      <c r="AP14" s="59">
        <f>AP8+AP13</f>
        <v/>
      </c>
      <c r="AQ14" s="59">
        <f>AQ8+AQ13</f>
        <v/>
      </c>
      <c r="AR14" s="59">
        <f>AR8+AR13</f>
        <v/>
      </c>
      <c r="AS14" s="59">
        <f>AS8+AS13</f>
        <v/>
      </c>
      <c r="AT14" s="59">
        <f>AT8+AT13</f>
        <v/>
      </c>
      <c r="AU14" s="59">
        <f>AU8+AU13</f>
        <v/>
      </c>
      <c r="AV14" s="59">
        <f>AV8+AV13</f>
        <v/>
      </c>
      <c r="AW14" s="59">
        <f>AW8+AW13</f>
        <v/>
      </c>
      <c r="AX14" s="59">
        <f>AX8+AX13</f>
        <v/>
      </c>
      <c r="AY14" s="59">
        <f>AY8+AY13</f>
        <v/>
      </c>
      <c r="AZ14" s="59">
        <f>AZ8+AZ13</f>
        <v/>
      </c>
      <c r="BA14" s="59">
        <f>BA8+BA13</f>
        <v/>
      </c>
      <c r="BB14" s="59">
        <f>BB8+BB13</f>
        <v/>
      </c>
      <c r="BC14" s="59">
        <f>BC8+BC13</f>
        <v/>
      </c>
      <c r="BD14" s="59">
        <f>BD8+BD13</f>
        <v/>
      </c>
      <c r="BE14" s="59">
        <f>BE8+BE13</f>
        <v/>
      </c>
      <c r="BF14" s="59">
        <f>BF8+BF13</f>
        <v/>
      </c>
      <c r="BG14" s="59">
        <f>BG8+BG13</f>
        <v/>
      </c>
      <c r="BH14" s="59">
        <f>BH8+BH13</f>
        <v/>
      </c>
      <c r="BI14" s="59">
        <f>BI8+BI13</f>
        <v/>
      </c>
      <c r="BJ14" s="59">
        <f>BJ8+BJ13</f>
        <v/>
      </c>
      <c r="BK14" s="59">
        <f>BK8+BK13</f>
        <v/>
      </c>
    </row>
    <row r="15">
      <c r="A15" s="34" t="inlineStr">
        <is>
          <t>Carga de GPU equivalente (usuários-mês) — pagantes + degustação Starter</t>
        </is>
      </c>
      <c r="D15" s="34">
        <f>D13+D6*(Premissas!$D$38/30)</f>
        <v/>
      </c>
      <c r="E15" s="34">
        <f>E13+E6*(Premissas!$D$38/30)</f>
        <v/>
      </c>
      <c r="F15" s="34">
        <f>F13+F6*(Premissas!$D$38/30)</f>
        <v/>
      </c>
      <c r="G15" s="34">
        <f>G13+G6*(Premissas!$D$38/30)</f>
        <v/>
      </c>
      <c r="H15" s="34">
        <f>H13+H6*(Premissas!$D$38/30)</f>
        <v/>
      </c>
      <c r="I15" s="34">
        <f>I13+I6*(Premissas!$D$38/30)</f>
        <v/>
      </c>
      <c r="J15" s="34">
        <f>J13+J6*(Premissas!$D$38/30)</f>
        <v/>
      </c>
      <c r="K15" s="34">
        <f>K13+K6*(Premissas!$D$38/30)</f>
        <v/>
      </c>
      <c r="L15" s="34">
        <f>L13+L6*(Premissas!$D$38/30)</f>
        <v/>
      </c>
      <c r="M15" s="34">
        <f>M13+M6*(Premissas!$D$38/30)</f>
        <v/>
      </c>
      <c r="N15" s="34">
        <f>N13+N6*(Premissas!$D$38/30)</f>
        <v/>
      </c>
      <c r="O15" s="34">
        <f>O13+O6*(Premissas!$D$38/30)</f>
        <v/>
      </c>
      <c r="P15" s="34">
        <f>P13+P6*(Premissas!$D$38/30)</f>
        <v/>
      </c>
      <c r="Q15" s="34">
        <f>Q13+Q6*(Premissas!$D$38/30)</f>
        <v/>
      </c>
      <c r="R15" s="34">
        <f>R13+R6*(Premissas!$D$38/30)</f>
        <v/>
      </c>
      <c r="S15" s="34">
        <f>S13+S6*(Premissas!$D$38/30)</f>
        <v/>
      </c>
      <c r="T15" s="34">
        <f>T13+T6*(Premissas!$D$38/30)</f>
        <v/>
      </c>
      <c r="U15" s="34">
        <f>U13+U6*(Premissas!$D$38/30)</f>
        <v/>
      </c>
      <c r="V15" s="34">
        <f>V13+V6*(Premissas!$D$38/30)</f>
        <v/>
      </c>
      <c r="W15" s="34">
        <f>W13+W6*(Premissas!$D$38/30)</f>
        <v/>
      </c>
      <c r="X15" s="34">
        <f>X13+X6*(Premissas!$D$38/30)</f>
        <v/>
      </c>
      <c r="Y15" s="34">
        <f>Y13+Y6*(Premissas!$D$38/30)</f>
        <v/>
      </c>
      <c r="Z15" s="34">
        <f>Z13+Z6*(Premissas!$D$38/30)</f>
        <v/>
      </c>
      <c r="AA15" s="34">
        <f>AA13+AA6*(Premissas!$D$38/30)</f>
        <v/>
      </c>
      <c r="AB15" s="34">
        <f>AB13+AB6*(Premissas!$D$38/30)</f>
        <v/>
      </c>
      <c r="AC15" s="34">
        <f>AC13+AC6*(Premissas!$D$38/30)</f>
        <v/>
      </c>
      <c r="AD15" s="34">
        <f>AD13+AD6*(Premissas!$D$38/30)</f>
        <v/>
      </c>
      <c r="AE15" s="34">
        <f>AE13+AE6*(Premissas!$D$38/30)</f>
        <v/>
      </c>
      <c r="AF15" s="34">
        <f>AF13+AF6*(Premissas!$D$38/30)</f>
        <v/>
      </c>
      <c r="AG15" s="34">
        <f>AG13+AG6*(Premissas!$D$38/30)</f>
        <v/>
      </c>
      <c r="AH15" s="34">
        <f>AH13+AH6*(Premissas!$D$38/30)</f>
        <v/>
      </c>
      <c r="AI15" s="34">
        <f>AI13+AI6*(Premissas!$D$38/30)</f>
        <v/>
      </c>
      <c r="AJ15" s="34">
        <f>AJ13+AJ6*(Premissas!$D$38/30)</f>
        <v/>
      </c>
      <c r="AK15" s="34">
        <f>AK13+AK6*(Premissas!$D$38/30)</f>
        <v/>
      </c>
      <c r="AL15" s="34">
        <f>AL13+AL6*(Premissas!$D$38/30)</f>
        <v/>
      </c>
      <c r="AM15" s="34">
        <f>AM13+AM6*(Premissas!$D$38/30)</f>
        <v/>
      </c>
      <c r="AN15" s="34">
        <f>AN13+AN6*(Premissas!$D$38/30)</f>
        <v/>
      </c>
      <c r="AO15" s="34">
        <f>AO13+AO6*(Premissas!$D$38/30)</f>
        <v/>
      </c>
      <c r="AP15" s="34">
        <f>AP13+AP6*(Premissas!$D$38/30)</f>
        <v/>
      </c>
      <c r="AQ15" s="34">
        <f>AQ13+AQ6*(Premissas!$D$38/30)</f>
        <v/>
      </c>
      <c r="AR15" s="34">
        <f>AR13+AR6*(Premissas!$D$38/30)</f>
        <v/>
      </c>
      <c r="AS15" s="34">
        <f>AS13+AS6*(Premissas!$D$38/30)</f>
        <v/>
      </c>
      <c r="AT15" s="34">
        <f>AT13+AT6*(Premissas!$D$38/30)</f>
        <v/>
      </c>
      <c r="AU15" s="34">
        <f>AU13+AU6*(Premissas!$D$38/30)</f>
        <v/>
      </c>
      <c r="AV15" s="34">
        <f>AV13+AV6*(Premissas!$D$38/30)</f>
        <v/>
      </c>
      <c r="AW15" s="34">
        <f>AW13+AW6*(Premissas!$D$38/30)</f>
        <v/>
      </c>
      <c r="AX15" s="34">
        <f>AX13+AX6*(Premissas!$D$38/30)</f>
        <v/>
      </c>
      <c r="AY15" s="34">
        <f>AY13+AY6*(Premissas!$D$38/30)</f>
        <v/>
      </c>
      <c r="AZ15" s="34">
        <f>AZ13+AZ6*(Premissas!$D$38/30)</f>
        <v/>
      </c>
      <c r="BA15" s="34">
        <f>BA13+BA6*(Premissas!$D$38/30)</f>
        <v/>
      </c>
      <c r="BB15" s="34">
        <f>BB13+BB6*(Premissas!$D$38/30)</f>
        <v/>
      </c>
      <c r="BC15" s="34">
        <f>BC13+BC6*(Premissas!$D$38/30)</f>
        <v/>
      </c>
      <c r="BD15" s="34">
        <f>BD13+BD6*(Premissas!$D$38/30)</f>
        <v/>
      </c>
      <c r="BE15" s="34">
        <f>BE13+BE6*(Premissas!$D$38/30)</f>
        <v/>
      </c>
      <c r="BF15" s="34">
        <f>BF13+BF6*(Premissas!$D$38/30)</f>
        <v/>
      </c>
      <c r="BG15" s="34">
        <f>BG13+BG6*(Premissas!$D$38/30)</f>
        <v/>
      </c>
      <c r="BH15" s="34">
        <f>BH13+BH6*(Premissas!$D$38/30)</f>
        <v/>
      </c>
      <c r="BI15" s="34">
        <f>BI13+BI6*(Premissas!$D$38/30)</f>
        <v/>
      </c>
      <c r="BJ15" s="34">
        <f>BJ13+BJ6*(Premissas!$D$38/30)</f>
        <v/>
      </c>
      <c r="BK15" s="34">
        <f>BK13+BK6*(Premissas!$D$38/30)</f>
        <v/>
      </c>
    </row>
    <row r="16" ht="15" customHeight="1" s="35">
      <c r="A16" s="46" t="inlineStr">
        <is>
          <t>── RECEITA ──</t>
        </is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</row>
    <row r="17" ht="15" customHeight="1" s="35">
      <c r="A17" s="43" t="inlineStr">
        <is>
          <t>Receita mensalidade Node: Pro (R$)</t>
        </is>
      </c>
      <c r="B17" s="53" t="inlineStr">
        <is>
          <t>R$</t>
        </is>
      </c>
      <c r="C17" s="58" t="n">
        <v>0</v>
      </c>
      <c r="D17" s="58">
        <f>D11*Premissas!$D$5</f>
        <v/>
      </c>
      <c r="E17" s="58">
        <f>E11*Premissas!$D$5</f>
        <v/>
      </c>
      <c r="F17" s="58">
        <f>F11*Premissas!$D$5</f>
        <v/>
      </c>
      <c r="G17" s="58">
        <f>G11*Premissas!$D$5</f>
        <v/>
      </c>
      <c r="H17" s="58">
        <f>H11*Premissas!$D$5</f>
        <v/>
      </c>
      <c r="I17" s="58">
        <f>I11*Premissas!$D$5</f>
        <v/>
      </c>
      <c r="J17" s="58">
        <f>J11*Premissas!$D$5</f>
        <v/>
      </c>
      <c r="K17" s="58">
        <f>K11*Premissas!$D$5</f>
        <v/>
      </c>
      <c r="L17" s="58">
        <f>L11*Premissas!$D$5</f>
        <v/>
      </c>
      <c r="M17" s="58">
        <f>M11*Premissas!$D$5</f>
        <v/>
      </c>
      <c r="N17" s="58">
        <f>N11*Premissas!$D$5</f>
        <v/>
      </c>
      <c r="O17" s="58">
        <f>O11*Premissas!$D$5</f>
        <v/>
      </c>
      <c r="P17" s="58">
        <f>P11*Premissas!$D$5</f>
        <v/>
      </c>
      <c r="Q17" s="58">
        <f>Q11*Premissas!$D$5</f>
        <v/>
      </c>
      <c r="R17" s="58">
        <f>R11*Premissas!$D$5</f>
        <v/>
      </c>
      <c r="S17" s="58">
        <f>S11*Premissas!$D$5</f>
        <v/>
      </c>
      <c r="T17" s="58">
        <f>T11*Premissas!$D$5</f>
        <v/>
      </c>
      <c r="U17" s="58">
        <f>U11*Premissas!$D$5</f>
        <v/>
      </c>
      <c r="V17" s="58">
        <f>V11*Premissas!$D$5</f>
        <v/>
      </c>
      <c r="W17" s="58">
        <f>W11*Premissas!$D$5</f>
        <v/>
      </c>
      <c r="X17" s="58">
        <f>X11*Premissas!$D$5</f>
        <v/>
      </c>
      <c r="Y17" s="58">
        <f>Y11*Premissas!$D$5</f>
        <v/>
      </c>
      <c r="Z17" s="58">
        <f>Z11*Premissas!$D$5</f>
        <v/>
      </c>
      <c r="AA17" s="58">
        <f>AA11*Premissas!$D$5</f>
        <v/>
      </c>
      <c r="AB17" s="58">
        <f>AB11*Premissas!$D$5</f>
        <v/>
      </c>
      <c r="AC17" s="58">
        <f>AC11*Premissas!$D$5</f>
        <v/>
      </c>
      <c r="AD17" s="58">
        <f>AD11*Premissas!$D$5</f>
        <v/>
      </c>
      <c r="AE17" s="58">
        <f>AE11*Premissas!$D$5</f>
        <v/>
      </c>
      <c r="AF17" s="58">
        <f>AF11*Premissas!$D$5</f>
        <v/>
      </c>
      <c r="AG17" s="58">
        <f>AG11*Premissas!$D$5</f>
        <v/>
      </c>
      <c r="AH17" s="58">
        <f>AH11*Premissas!$D$5</f>
        <v/>
      </c>
      <c r="AI17" s="58">
        <f>AI11*Premissas!$D$5</f>
        <v/>
      </c>
      <c r="AJ17" s="58">
        <f>AJ11*Premissas!$D$5</f>
        <v/>
      </c>
      <c r="AK17" s="58">
        <f>AK11*Premissas!$D$5</f>
        <v/>
      </c>
      <c r="AL17" s="58">
        <f>AL11*Premissas!$D$5</f>
        <v/>
      </c>
      <c r="AM17" s="58">
        <f>AM11*Premissas!$D$5</f>
        <v/>
      </c>
      <c r="AN17" s="58">
        <f>AN11*Premissas!$D$5</f>
        <v/>
      </c>
      <c r="AO17" s="58">
        <f>AO11*Premissas!$D$5</f>
        <v/>
      </c>
      <c r="AP17" s="58">
        <f>AP11*Premissas!$D$5</f>
        <v/>
      </c>
      <c r="AQ17" s="58">
        <f>AQ11*Premissas!$D$5</f>
        <v/>
      </c>
      <c r="AR17" s="58">
        <f>AR11*Premissas!$D$5</f>
        <v/>
      </c>
      <c r="AS17" s="58">
        <f>AS11*Premissas!$D$5</f>
        <v/>
      </c>
      <c r="AT17" s="58">
        <f>AT11*Premissas!$D$5</f>
        <v/>
      </c>
      <c r="AU17" s="58">
        <f>AU11*Premissas!$D$5</f>
        <v/>
      </c>
      <c r="AV17" s="58">
        <f>AV11*Premissas!$D$5</f>
        <v/>
      </c>
      <c r="AW17" s="58">
        <f>AW11*Premissas!$D$5</f>
        <v/>
      </c>
      <c r="AX17" s="58">
        <f>AX11*Premissas!$D$5</f>
        <v/>
      </c>
      <c r="AY17" s="58">
        <f>AY11*Premissas!$D$5</f>
        <v/>
      </c>
      <c r="AZ17" s="58">
        <f>AZ11*Premissas!$D$5</f>
        <v/>
      </c>
      <c r="BA17" s="58">
        <f>BA11*Premissas!$D$5</f>
        <v/>
      </c>
      <c r="BB17" s="58">
        <f>BB11*Premissas!$D$5</f>
        <v/>
      </c>
      <c r="BC17" s="58">
        <f>BC11*Premissas!$D$5</f>
        <v/>
      </c>
      <c r="BD17" s="58">
        <f>BD11*Premissas!$D$5</f>
        <v/>
      </c>
      <c r="BE17" s="58">
        <f>BE11*Premissas!$D$5</f>
        <v/>
      </c>
      <c r="BF17" s="58">
        <f>BF11*Premissas!$D$5</f>
        <v/>
      </c>
      <c r="BG17" s="58">
        <f>BG11*Premissas!$D$5</f>
        <v/>
      </c>
      <c r="BH17" s="58">
        <f>BH11*Premissas!$D$5</f>
        <v/>
      </c>
      <c r="BI17" s="58">
        <f>BI11*Premissas!$D$5</f>
        <v/>
      </c>
      <c r="BJ17" s="58">
        <f>BJ11*Premissas!$D$5</f>
        <v/>
      </c>
      <c r="BK17" s="58">
        <f>BK11*Premissas!$D$5</f>
        <v/>
      </c>
    </row>
    <row r="18" ht="15" customHeight="1" s="35">
      <c r="A18" s="43" t="inlineStr">
        <is>
          <t>Receita mensalidade Node: Institutional (R$)</t>
        </is>
      </c>
      <c r="B18" s="53" t="inlineStr">
        <is>
          <t>R$</t>
        </is>
      </c>
      <c r="C18" s="58" t="n">
        <v>0</v>
      </c>
      <c r="D18" s="58">
        <f>D12*Premissas!$D$6</f>
        <v/>
      </c>
      <c r="E18" s="58">
        <f>E12*Premissas!$D$6</f>
        <v/>
      </c>
      <c r="F18" s="58">
        <f>F12*Premissas!$D$6</f>
        <v/>
      </c>
      <c r="G18" s="58">
        <f>G12*Premissas!$D$6</f>
        <v/>
      </c>
      <c r="H18" s="58">
        <f>H12*Premissas!$D$6</f>
        <v/>
      </c>
      <c r="I18" s="58">
        <f>I12*Premissas!$D$6</f>
        <v/>
      </c>
      <c r="J18" s="58">
        <f>J12*Premissas!$D$6</f>
        <v/>
      </c>
      <c r="K18" s="58">
        <f>K12*Premissas!$D$6</f>
        <v/>
      </c>
      <c r="L18" s="58">
        <f>L12*Premissas!$D$6</f>
        <v/>
      </c>
      <c r="M18" s="58">
        <f>M12*Premissas!$D$6</f>
        <v/>
      </c>
      <c r="N18" s="58">
        <f>N12*Premissas!$D$6</f>
        <v/>
      </c>
      <c r="O18" s="58">
        <f>O12*Premissas!$D$6</f>
        <v/>
      </c>
      <c r="P18" s="58">
        <f>P12*Premissas!$D$6</f>
        <v/>
      </c>
      <c r="Q18" s="58">
        <f>Q12*Premissas!$D$6</f>
        <v/>
      </c>
      <c r="R18" s="58">
        <f>R12*Premissas!$D$6</f>
        <v/>
      </c>
      <c r="S18" s="58">
        <f>S12*Premissas!$D$6</f>
        <v/>
      </c>
      <c r="T18" s="58">
        <f>T12*Premissas!$D$6</f>
        <v/>
      </c>
      <c r="U18" s="58">
        <f>U12*Premissas!$D$6</f>
        <v/>
      </c>
      <c r="V18" s="58">
        <f>V12*Premissas!$D$6</f>
        <v/>
      </c>
      <c r="W18" s="58">
        <f>W12*Premissas!$D$6</f>
        <v/>
      </c>
      <c r="X18" s="58">
        <f>X12*Premissas!$D$6</f>
        <v/>
      </c>
      <c r="Y18" s="58">
        <f>Y12*Premissas!$D$6</f>
        <v/>
      </c>
      <c r="Z18" s="58">
        <f>Z12*Premissas!$D$6</f>
        <v/>
      </c>
      <c r="AA18" s="58">
        <f>AA12*Premissas!$D$6</f>
        <v/>
      </c>
      <c r="AB18" s="58">
        <f>AB12*Premissas!$D$6</f>
        <v/>
      </c>
      <c r="AC18" s="58">
        <f>AC12*Premissas!$D$6</f>
        <v/>
      </c>
      <c r="AD18" s="58">
        <f>AD12*Premissas!$D$6</f>
        <v/>
      </c>
      <c r="AE18" s="58">
        <f>AE12*Premissas!$D$6</f>
        <v/>
      </c>
      <c r="AF18" s="58">
        <f>AF12*Premissas!$D$6</f>
        <v/>
      </c>
      <c r="AG18" s="58">
        <f>AG12*Premissas!$D$6</f>
        <v/>
      </c>
      <c r="AH18" s="58">
        <f>AH12*Premissas!$D$6</f>
        <v/>
      </c>
      <c r="AI18" s="58">
        <f>AI12*Premissas!$D$6</f>
        <v/>
      </c>
      <c r="AJ18" s="58">
        <f>AJ12*Premissas!$D$6</f>
        <v/>
      </c>
      <c r="AK18" s="58">
        <f>AK12*Premissas!$D$6</f>
        <v/>
      </c>
      <c r="AL18" s="58">
        <f>AL12*Premissas!$D$6</f>
        <v/>
      </c>
      <c r="AM18" s="58">
        <f>AM12*Premissas!$D$6</f>
        <v/>
      </c>
      <c r="AN18" s="58">
        <f>AN12*Premissas!$D$6</f>
        <v/>
      </c>
      <c r="AO18" s="58">
        <f>AO12*Premissas!$D$6</f>
        <v/>
      </c>
      <c r="AP18" s="58">
        <f>AP12*Premissas!$D$6</f>
        <v/>
      </c>
      <c r="AQ18" s="58">
        <f>AQ12*Premissas!$D$6</f>
        <v/>
      </c>
      <c r="AR18" s="58">
        <f>AR12*Premissas!$D$6</f>
        <v/>
      </c>
      <c r="AS18" s="58">
        <f>AS12*Premissas!$D$6</f>
        <v/>
      </c>
      <c r="AT18" s="58">
        <f>AT12*Premissas!$D$6</f>
        <v/>
      </c>
      <c r="AU18" s="58">
        <f>AU12*Premissas!$D$6</f>
        <v/>
      </c>
      <c r="AV18" s="58">
        <f>AV12*Premissas!$D$6</f>
        <v/>
      </c>
      <c r="AW18" s="58">
        <f>AW12*Premissas!$D$6</f>
        <v/>
      </c>
      <c r="AX18" s="58">
        <f>AX12*Premissas!$D$6</f>
        <v/>
      </c>
      <c r="AY18" s="58">
        <f>AY12*Premissas!$D$6</f>
        <v/>
      </c>
      <c r="AZ18" s="58">
        <f>AZ12*Premissas!$D$6</f>
        <v/>
      </c>
      <c r="BA18" s="58">
        <f>BA12*Premissas!$D$6</f>
        <v/>
      </c>
      <c r="BB18" s="58">
        <f>BB12*Premissas!$D$6</f>
        <v/>
      </c>
      <c r="BC18" s="58">
        <f>BC12*Premissas!$D$6</f>
        <v/>
      </c>
      <c r="BD18" s="58">
        <f>BD12*Premissas!$D$6</f>
        <v/>
      </c>
      <c r="BE18" s="58">
        <f>BE12*Premissas!$D$6</f>
        <v/>
      </c>
      <c r="BF18" s="58">
        <f>BF12*Premissas!$D$6</f>
        <v/>
      </c>
      <c r="BG18" s="58">
        <f>BG12*Premissas!$D$6</f>
        <v/>
      </c>
      <c r="BH18" s="58">
        <f>BH12*Premissas!$D$6</f>
        <v/>
      </c>
      <c r="BI18" s="58">
        <f>BI12*Premissas!$D$6</f>
        <v/>
      </c>
      <c r="BJ18" s="58">
        <f>BJ12*Premissas!$D$6</f>
        <v/>
      </c>
      <c r="BK18" s="58">
        <f>BK12*Premissas!$D$6</f>
        <v/>
      </c>
    </row>
    <row r="19" ht="15" customHeight="1" s="35">
      <c r="A19" s="43" t="inlineStr">
        <is>
          <t>Lotes negociados no mês — Pro+Institutional (lotes)</t>
        </is>
      </c>
      <c r="B19" s="53" t="inlineStr">
        <is>
          <t>lotes</t>
        </is>
      </c>
      <c r="C19" s="60" t="n">
        <v>0</v>
      </c>
      <c r="D19" s="60">
        <f>D13*Premissas!$D$18</f>
        <v/>
      </c>
      <c r="E19" s="60">
        <f>E13*Premissas!$D$18</f>
        <v/>
      </c>
      <c r="F19" s="60">
        <f>F13*Premissas!$D$18</f>
        <v/>
      </c>
      <c r="G19" s="60">
        <f>G13*Premissas!$D$18</f>
        <v/>
      </c>
      <c r="H19" s="60">
        <f>H13*Premissas!$D$18</f>
        <v/>
      </c>
      <c r="I19" s="60">
        <f>I13*Premissas!$D$18</f>
        <v/>
      </c>
      <c r="J19" s="60">
        <f>J13*Premissas!$D$18</f>
        <v/>
      </c>
      <c r="K19" s="60">
        <f>K13*Premissas!$D$18</f>
        <v/>
      </c>
      <c r="L19" s="60">
        <f>L13*Premissas!$D$18</f>
        <v/>
      </c>
      <c r="M19" s="60">
        <f>M13*Premissas!$D$18</f>
        <v/>
      </c>
      <c r="N19" s="60">
        <f>N13*Premissas!$D$18</f>
        <v/>
      </c>
      <c r="O19" s="60">
        <f>O13*Premissas!$D$18</f>
        <v/>
      </c>
      <c r="P19" s="60">
        <f>P13*Premissas!$D$18</f>
        <v/>
      </c>
      <c r="Q19" s="60">
        <f>Q13*Premissas!$D$18</f>
        <v/>
      </c>
      <c r="R19" s="60">
        <f>R13*Premissas!$D$18</f>
        <v/>
      </c>
      <c r="S19" s="60">
        <f>S13*Premissas!$D$18</f>
        <v/>
      </c>
      <c r="T19" s="60">
        <f>T13*Premissas!$D$18</f>
        <v/>
      </c>
      <c r="U19" s="60">
        <f>U13*Premissas!$D$18</f>
        <v/>
      </c>
      <c r="V19" s="60">
        <f>V13*Premissas!$D$18</f>
        <v/>
      </c>
      <c r="W19" s="60">
        <f>W13*Premissas!$D$18</f>
        <v/>
      </c>
      <c r="X19" s="60">
        <f>X13*Premissas!$D$18</f>
        <v/>
      </c>
      <c r="Y19" s="60">
        <f>Y13*Premissas!$D$18</f>
        <v/>
      </c>
      <c r="Z19" s="60">
        <f>Z13*Premissas!$D$18</f>
        <v/>
      </c>
      <c r="AA19" s="60">
        <f>AA13*Premissas!$D$18</f>
        <v/>
      </c>
      <c r="AB19" s="60">
        <f>AB13*Premissas!$D$18</f>
        <v/>
      </c>
      <c r="AC19" s="60">
        <f>AC13*Premissas!$D$18</f>
        <v/>
      </c>
      <c r="AD19" s="60">
        <f>AD13*Premissas!$D$18</f>
        <v/>
      </c>
      <c r="AE19" s="60">
        <f>AE13*Premissas!$D$18</f>
        <v/>
      </c>
      <c r="AF19" s="60">
        <f>AF13*Premissas!$D$18</f>
        <v/>
      </c>
      <c r="AG19" s="60">
        <f>AG13*Premissas!$D$18</f>
        <v/>
      </c>
      <c r="AH19" s="60">
        <f>AH13*Premissas!$D$18</f>
        <v/>
      </c>
      <c r="AI19" s="60">
        <f>AI13*Premissas!$D$18</f>
        <v/>
      </c>
      <c r="AJ19" s="60">
        <f>AJ13*Premissas!$D$18</f>
        <v/>
      </c>
      <c r="AK19" s="60">
        <f>AK13*Premissas!$D$18</f>
        <v/>
      </c>
      <c r="AL19" s="60">
        <f>AL13*Premissas!$D$18</f>
        <v/>
      </c>
      <c r="AM19" s="60">
        <f>AM13*Premissas!$D$18</f>
        <v/>
      </c>
      <c r="AN19" s="60">
        <f>AN13*Premissas!$D$18</f>
        <v/>
      </c>
      <c r="AO19" s="60">
        <f>AO13*Premissas!$D$18</f>
        <v/>
      </c>
      <c r="AP19" s="60">
        <f>AP13*Premissas!$D$18</f>
        <v/>
      </c>
      <c r="AQ19" s="60">
        <f>AQ13*Premissas!$D$18</f>
        <v/>
      </c>
      <c r="AR19" s="60">
        <f>AR13*Premissas!$D$18</f>
        <v/>
      </c>
      <c r="AS19" s="60">
        <f>AS13*Premissas!$D$18</f>
        <v/>
      </c>
      <c r="AT19" s="60">
        <f>AT13*Premissas!$D$18</f>
        <v/>
      </c>
      <c r="AU19" s="60">
        <f>AU13*Premissas!$D$18</f>
        <v/>
      </c>
      <c r="AV19" s="60">
        <f>AV13*Premissas!$D$18</f>
        <v/>
      </c>
      <c r="AW19" s="60">
        <f>AW13*Premissas!$D$18</f>
        <v/>
      </c>
      <c r="AX19" s="60">
        <f>AX13*Premissas!$D$18</f>
        <v/>
      </c>
      <c r="AY19" s="60">
        <f>AY13*Premissas!$D$18</f>
        <v/>
      </c>
      <c r="AZ19" s="60">
        <f>AZ13*Premissas!$D$18</f>
        <v/>
      </c>
      <c r="BA19" s="60">
        <f>BA13*Premissas!$D$18</f>
        <v/>
      </c>
      <c r="BB19" s="60">
        <f>BB13*Premissas!$D$18</f>
        <v/>
      </c>
      <c r="BC19" s="60">
        <f>BC13*Premissas!$D$18</f>
        <v/>
      </c>
      <c r="BD19" s="60">
        <f>BD13*Premissas!$D$18</f>
        <v/>
      </c>
      <c r="BE19" s="60">
        <f>BE13*Premissas!$D$18</f>
        <v/>
      </c>
      <c r="BF19" s="60">
        <f>BF13*Premissas!$D$18</f>
        <v/>
      </c>
      <c r="BG19" s="60">
        <f>BG13*Premissas!$D$18</f>
        <v/>
      </c>
      <c r="BH19" s="60">
        <f>BH13*Premissas!$D$18</f>
        <v/>
      </c>
      <c r="BI19" s="60">
        <f>BI13*Premissas!$D$18</f>
        <v/>
      </c>
      <c r="BJ19" s="60">
        <f>BJ13*Premissas!$D$18</f>
        <v/>
      </c>
      <c r="BK19" s="60">
        <f>BK13*Premissas!$D$18</f>
        <v/>
      </c>
    </row>
    <row r="20" ht="15" customHeight="1" s="35">
      <c r="A20" s="43" t="inlineStr">
        <is>
          <t>Lotes negociados no mês — Starter (lotes)</t>
        </is>
      </c>
      <c r="B20" s="53" t="inlineStr">
        <is>
          <t>lotes</t>
        </is>
      </c>
      <c r="C20" s="60" t="n">
        <v>0</v>
      </c>
      <c r="D20" s="60">
        <f>D6*Premissas!$D$19</f>
        <v/>
      </c>
      <c r="E20" s="60">
        <f>E6*Premissas!$D$19</f>
        <v/>
      </c>
      <c r="F20" s="60">
        <f>F6*Premissas!$D$19</f>
        <v/>
      </c>
      <c r="G20" s="60">
        <f>G6*Premissas!$D$19</f>
        <v/>
      </c>
      <c r="H20" s="60">
        <f>H6*Premissas!$D$19</f>
        <v/>
      </c>
      <c r="I20" s="60">
        <f>I6*Premissas!$D$19</f>
        <v/>
      </c>
      <c r="J20" s="60">
        <f>J6*Premissas!$D$19</f>
        <v/>
      </c>
      <c r="K20" s="60">
        <f>K6*Premissas!$D$19</f>
        <v/>
      </c>
      <c r="L20" s="60">
        <f>L6*Premissas!$D$19</f>
        <v/>
      </c>
      <c r="M20" s="60">
        <f>M6*Premissas!$D$19</f>
        <v/>
      </c>
      <c r="N20" s="60">
        <f>N6*Premissas!$D$19</f>
        <v/>
      </c>
      <c r="O20" s="60">
        <f>O6*Premissas!$D$19</f>
        <v/>
      </c>
      <c r="P20" s="60">
        <f>P6*Premissas!$D$19</f>
        <v/>
      </c>
      <c r="Q20" s="60">
        <f>Q6*Premissas!$D$19</f>
        <v/>
      </c>
      <c r="R20" s="60">
        <f>R6*Premissas!$D$19</f>
        <v/>
      </c>
      <c r="S20" s="60">
        <f>S6*Premissas!$D$19</f>
        <v/>
      </c>
      <c r="T20" s="60">
        <f>T6*Premissas!$D$19</f>
        <v/>
      </c>
      <c r="U20" s="60">
        <f>U6*Premissas!$D$19</f>
        <v/>
      </c>
      <c r="V20" s="60">
        <f>V6*Premissas!$D$19</f>
        <v/>
      </c>
      <c r="W20" s="60">
        <f>W6*Premissas!$D$19</f>
        <v/>
      </c>
      <c r="X20" s="60">
        <f>X6*Premissas!$D$19</f>
        <v/>
      </c>
      <c r="Y20" s="60">
        <f>Y6*Premissas!$D$19</f>
        <v/>
      </c>
      <c r="Z20" s="60">
        <f>Z6*Premissas!$D$19</f>
        <v/>
      </c>
      <c r="AA20" s="60">
        <f>AA6*Premissas!$D$19</f>
        <v/>
      </c>
      <c r="AB20" s="60">
        <f>AB6*Premissas!$D$19</f>
        <v/>
      </c>
      <c r="AC20" s="60">
        <f>AC6*Premissas!$D$19</f>
        <v/>
      </c>
      <c r="AD20" s="60">
        <f>AD6*Premissas!$D$19</f>
        <v/>
      </c>
      <c r="AE20" s="60">
        <f>AE6*Premissas!$D$19</f>
        <v/>
      </c>
      <c r="AF20" s="60">
        <f>AF6*Premissas!$D$19</f>
        <v/>
      </c>
      <c r="AG20" s="60">
        <f>AG6*Premissas!$D$19</f>
        <v/>
      </c>
      <c r="AH20" s="60">
        <f>AH6*Premissas!$D$19</f>
        <v/>
      </c>
      <c r="AI20" s="60">
        <f>AI6*Premissas!$D$19</f>
        <v/>
      </c>
      <c r="AJ20" s="60">
        <f>AJ6*Premissas!$D$19</f>
        <v/>
      </c>
      <c r="AK20" s="60">
        <f>AK6*Premissas!$D$19</f>
        <v/>
      </c>
      <c r="AL20" s="60">
        <f>AL6*Premissas!$D$19</f>
        <v/>
      </c>
      <c r="AM20" s="60">
        <f>AM6*Premissas!$D$19</f>
        <v/>
      </c>
      <c r="AN20" s="60">
        <f>AN6*Premissas!$D$19</f>
        <v/>
      </c>
      <c r="AO20" s="60">
        <f>AO6*Premissas!$D$19</f>
        <v/>
      </c>
      <c r="AP20" s="60">
        <f>AP6*Premissas!$D$19</f>
        <v/>
      </c>
      <c r="AQ20" s="60">
        <f>AQ6*Premissas!$D$19</f>
        <v/>
      </c>
      <c r="AR20" s="60">
        <f>AR6*Premissas!$D$19</f>
        <v/>
      </c>
      <c r="AS20" s="60">
        <f>AS6*Premissas!$D$19</f>
        <v/>
      </c>
      <c r="AT20" s="60">
        <f>AT6*Premissas!$D$19</f>
        <v/>
      </c>
      <c r="AU20" s="60">
        <f>AU6*Premissas!$D$19</f>
        <v/>
      </c>
      <c r="AV20" s="60">
        <f>AV6*Premissas!$D$19</f>
        <v/>
      </c>
      <c r="AW20" s="60">
        <f>AW6*Premissas!$D$19</f>
        <v/>
      </c>
      <c r="AX20" s="60">
        <f>AX6*Premissas!$D$19</f>
        <v/>
      </c>
      <c r="AY20" s="60">
        <f>AY6*Premissas!$D$19</f>
        <v/>
      </c>
      <c r="AZ20" s="60">
        <f>AZ6*Premissas!$D$19</f>
        <v/>
      </c>
      <c r="BA20" s="60">
        <f>BA6*Premissas!$D$19</f>
        <v/>
      </c>
      <c r="BB20" s="60">
        <f>BB6*Premissas!$D$19</f>
        <v/>
      </c>
      <c r="BC20" s="60">
        <f>BC6*Premissas!$D$19</f>
        <v/>
      </c>
      <c r="BD20" s="60">
        <f>BD6*Premissas!$D$19</f>
        <v/>
      </c>
      <c r="BE20" s="60">
        <f>BE6*Premissas!$D$19</f>
        <v/>
      </c>
      <c r="BF20" s="60">
        <f>BF6*Premissas!$D$19</f>
        <v/>
      </c>
      <c r="BG20" s="60">
        <f>BG6*Premissas!$D$19</f>
        <v/>
      </c>
      <c r="BH20" s="60">
        <f>BH6*Premissas!$D$19</f>
        <v/>
      </c>
      <c r="BI20" s="60">
        <f>BI6*Premissas!$D$19</f>
        <v/>
      </c>
      <c r="BJ20" s="60">
        <f>BJ6*Premissas!$D$19</f>
        <v/>
      </c>
      <c r="BK20" s="60">
        <f>BK6*Premissas!$D$19</f>
        <v/>
      </c>
    </row>
    <row r="21" ht="15" customHeight="1" s="35">
      <c r="A21" s="43" t="inlineStr">
        <is>
          <t>Receita comissão própria — só sobre volume Starter (R$)</t>
        </is>
      </c>
      <c r="B21" s="53" t="inlineStr">
        <is>
          <t>R$</t>
        </is>
      </c>
      <c r="C21" s="58" t="n">
        <v>0</v>
      </c>
      <c r="D21" s="58">
        <f>(D19+D20)*Premissas!$D$22</f>
        <v/>
      </c>
      <c r="E21" s="58">
        <f>(E19+E20)*Premissas!$D$22</f>
        <v/>
      </c>
      <c r="F21" s="58">
        <f>(F19+F20)*Premissas!$D$22</f>
        <v/>
      </c>
      <c r="G21" s="58">
        <f>(G19+G20)*Premissas!$D$22</f>
        <v/>
      </c>
      <c r="H21" s="58">
        <f>(H19+H20)*Premissas!$D$22</f>
        <v/>
      </c>
      <c r="I21" s="58">
        <f>(I19+I20)*Premissas!$D$22</f>
        <v/>
      </c>
      <c r="J21" s="58">
        <f>(J19+J20)*Premissas!$D$22</f>
        <v/>
      </c>
      <c r="K21" s="58">
        <f>(K19+K20)*Premissas!$D$22</f>
        <v/>
      </c>
      <c r="L21" s="58">
        <f>(L19+L20)*Premissas!$D$22</f>
        <v/>
      </c>
      <c r="M21" s="58">
        <f>(M19+M20)*Premissas!$D$22</f>
        <v/>
      </c>
      <c r="N21" s="58">
        <f>(N19+N20)*Premissas!$D$22</f>
        <v/>
      </c>
      <c r="O21" s="58">
        <f>(O19+O20)*Premissas!$D$22</f>
        <v/>
      </c>
      <c r="P21" s="58">
        <f>(P19+P20)*Premissas!$D$22</f>
        <v/>
      </c>
      <c r="Q21" s="58">
        <f>(Q19+Q20)*Premissas!$D$22</f>
        <v/>
      </c>
      <c r="R21" s="58">
        <f>(R19+R20)*Premissas!$D$22</f>
        <v/>
      </c>
      <c r="S21" s="58">
        <f>(S19+S20)*Premissas!$D$22</f>
        <v/>
      </c>
      <c r="T21" s="58">
        <f>(T19+T20)*Premissas!$D$22</f>
        <v/>
      </c>
      <c r="U21" s="58">
        <f>(U19+U20)*Premissas!$D$22</f>
        <v/>
      </c>
      <c r="V21" s="58">
        <f>(V19+V20)*Premissas!$D$22</f>
        <v/>
      </c>
      <c r="W21" s="58">
        <f>(W19+W20)*Premissas!$D$22</f>
        <v/>
      </c>
      <c r="X21" s="58">
        <f>(X19+X20)*Premissas!$D$22</f>
        <v/>
      </c>
      <c r="Y21" s="58">
        <f>(Y19+Y20)*Premissas!$D$22</f>
        <v/>
      </c>
      <c r="Z21" s="58">
        <f>(Z19+Z20)*Premissas!$D$22</f>
        <v/>
      </c>
      <c r="AA21" s="58">
        <f>(AA19+AA20)*Premissas!$D$22</f>
        <v/>
      </c>
      <c r="AB21" s="58">
        <f>(AB19+AB20)*Premissas!$D$22</f>
        <v/>
      </c>
      <c r="AC21" s="58">
        <f>(AC19+AC20)*Premissas!$D$22</f>
        <v/>
      </c>
      <c r="AD21" s="58">
        <f>(AD19+AD20)*Premissas!$D$22</f>
        <v/>
      </c>
      <c r="AE21" s="58">
        <f>(AE19+AE20)*Premissas!$D$22</f>
        <v/>
      </c>
      <c r="AF21" s="58">
        <f>(AF19+AF20)*Premissas!$D$22</f>
        <v/>
      </c>
      <c r="AG21" s="58">
        <f>(AG19+AG20)*Premissas!$D$22</f>
        <v/>
      </c>
      <c r="AH21" s="58">
        <f>(AH19+AH20)*Premissas!$D$22</f>
        <v/>
      </c>
      <c r="AI21" s="58">
        <f>(AI19+AI20)*Premissas!$D$22</f>
        <v/>
      </c>
      <c r="AJ21" s="58">
        <f>(AJ19+AJ20)*Premissas!$D$22</f>
        <v/>
      </c>
      <c r="AK21" s="58">
        <f>(AK19+AK20)*Premissas!$D$22</f>
        <v/>
      </c>
      <c r="AL21" s="58">
        <f>(AL19+AL20)*Premissas!$D$22</f>
        <v/>
      </c>
      <c r="AM21" s="58">
        <f>(AM19+AM20)*Premissas!$D$22</f>
        <v/>
      </c>
      <c r="AN21" s="58">
        <f>(AN19+AN20)*Premissas!$D$22</f>
        <v/>
      </c>
      <c r="AO21" s="58">
        <f>(AO19+AO20)*Premissas!$D$22</f>
        <v/>
      </c>
      <c r="AP21" s="58">
        <f>(AP19+AP20)*Premissas!$D$22</f>
        <v/>
      </c>
      <c r="AQ21" s="58">
        <f>(AQ19+AQ20)*Premissas!$D$22</f>
        <v/>
      </c>
      <c r="AR21" s="58">
        <f>(AR19+AR20)*Premissas!$D$22</f>
        <v/>
      </c>
      <c r="AS21" s="58">
        <f>(AS19+AS20)*Premissas!$D$22</f>
        <v/>
      </c>
      <c r="AT21" s="58">
        <f>(AT19+AT20)*Premissas!$D$22</f>
        <v/>
      </c>
      <c r="AU21" s="58">
        <f>(AU19+AU20)*Premissas!$D$22</f>
        <v/>
      </c>
      <c r="AV21" s="58">
        <f>(AV19+AV20)*Premissas!$D$22</f>
        <v/>
      </c>
      <c r="AW21" s="58">
        <f>(AW19+AW20)*Premissas!$D$22</f>
        <v/>
      </c>
      <c r="AX21" s="58">
        <f>(AX19+AX20)*Premissas!$D$22</f>
        <v/>
      </c>
      <c r="AY21" s="58">
        <f>(AY19+AY20)*Premissas!$D$22</f>
        <v/>
      </c>
      <c r="AZ21" s="58">
        <f>(AZ19+AZ20)*Premissas!$D$22</f>
        <v/>
      </c>
      <c r="BA21" s="58">
        <f>(BA19+BA20)*Premissas!$D$22</f>
        <v/>
      </c>
      <c r="BB21" s="58">
        <f>(BB19+BB20)*Premissas!$D$22</f>
        <v/>
      </c>
      <c r="BC21" s="58">
        <f>(BC19+BC20)*Premissas!$D$22</f>
        <v/>
      </c>
      <c r="BD21" s="58">
        <f>(BD19+BD20)*Premissas!$D$22</f>
        <v/>
      </c>
      <c r="BE21" s="58">
        <f>(BE19+BE20)*Premissas!$D$22</f>
        <v/>
      </c>
      <c r="BF21" s="58">
        <f>(BF19+BF20)*Premissas!$D$22</f>
        <v/>
      </c>
      <c r="BG21" s="58">
        <f>(BG19+BG20)*Premissas!$D$22</f>
        <v/>
      </c>
      <c r="BH21" s="58">
        <f>(BH19+BH20)*Premissas!$D$22</f>
        <v/>
      </c>
      <c r="BI21" s="58">
        <f>(BI19+BI20)*Premissas!$D$22</f>
        <v/>
      </c>
      <c r="BJ21" s="58">
        <f>(BJ19+BJ20)*Premissas!$D$22</f>
        <v/>
      </c>
      <c r="BK21" s="58">
        <f>(BK19+BK20)*Premissas!$D$22</f>
        <v/>
      </c>
    </row>
    <row r="22" ht="15" customHeight="1" s="35">
      <c r="A22" s="43" t="inlineStr">
        <is>
          <t>Receita rebate IB — sobre todo o volume (R$)</t>
        </is>
      </c>
      <c r="B22" s="53" t="inlineStr">
        <is>
          <t>R$</t>
        </is>
      </c>
      <c r="C22" s="58" t="n">
        <v>0</v>
      </c>
      <c r="D22" s="58">
        <f>(D19+D20)*Premissas!$D$23</f>
        <v/>
      </c>
      <c r="E22" s="58">
        <f>(E19+E20)*Premissas!$D$23</f>
        <v/>
      </c>
      <c r="F22" s="58">
        <f>(F19+F20)*Premissas!$D$23</f>
        <v/>
      </c>
      <c r="G22" s="58">
        <f>(G19+G20)*Premissas!$D$23</f>
        <v/>
      </c>
      <c r="H22" s="58">
        <f>(H19+H20)*Premissas!$D$23</f>
        <v/>
      </c>
      <c r="I22" s="58">
        <f>(I19+I20)*Premissas!$D$23</f>
        <v/>
      </c>
      <c r="J22" s="58">
        <f>(J19+J20)*Premissas!$D$23</f>
        <v/>
      </c>
      <c r="K22" s="58">
        <f>(K19+K20)*Premissas!$D$23</f>
        <v/>
      </c>
      <c r="L22" s="58">
        <f>(L19+L20)*Premissas!$D$23</f>
        <v/>
      </c>
      <c r="M22" s="58">
        <f>(M19+M20)*Premissas!$D$23</f>
        <v/>
      </c>
      <c r="N22" s="58">
        <f>(N19+N20)*Premissas!$D$23</f>
        <v/>
      </c>
      <c r="O22" s="58">
        <f>(O19+O20)*Premissas!$D$23</f>
        <v/>
      </c>
      <c r="P22" s="58">
        <f>(P19+P20)*Premissas!$D$23</f>
        <v/>
      </c>
      <c r="Q22" s="58">
        <f>(Q19+Q20)*Premissas!$D$23</f>
        <v/>
      </c>
      <c r="R22" s="58">
        <f>(R19+R20)*Premissas!$D$23</f>
        <v/>
      </c>
      <c r="S22" s="58">
        <f>(S19+S20)*Premissas!$D$23</f>
        <v/>
      </c>
      <c r="T22" s="58">
        <f>(T19+T20)*Premissas!$D$23</f>
        <v/>
      </c>
      <c r="U22" s="58">
        <f>(U19+U20)*Premissas!$D$23</f>
        <v/>
      </c>
      <c r="V22" s="58">
        <f>(V19+V20)*Premissas!$D$23</f>
        <v/>
      </c>
      <c r="W22" s="58">
        <f>(W19+W20)*Premissas!$D$23</f>
        <v/>
      </c>
      <c r="X22" s="58">
        <f>(X19+X20)*Premissas!$D$23</f>
        <v/>
      </c>
      <c r="Y22" s="58">
        <f>(Y19+Y20)*Premissas!$D$23</f>
        <v/>
      </c>
      <c r="Z22" s="58">
        <f>(Z19+Z20)*Premissas!$D$23</f>
        <v/>
      </c>
      <c r="AA22" s="58">
        <f>(AA19+AA20)*Premissas!$D$23</f>
        <v/>
      </c>
      <c r="AB22" s="58">
        <f>(AB19+AB20)*Premissas!$D$23</f>
        <v/>
      </c>
      <c r="AC22" s="58">
        <f>(AC19+AC20)*Premissas!$D$23</f>
        <v/>
      </c>
      <c r="AD22" s="58">
        <f>(AD19+AD20)*Premissas!$D$23</f>
        <v/>
      </c>
      <c r="AE22" s="58">
        <f>(AE19+AE20)*Premissas!$D$23</f>
        <v/>
      </c>
      <c r="AF22" s="58">
        <f>(AF19+AF20)*Premissas!$D$23</f>
        <v/>
      </c>
      <c r="AG22" s="58">
        <f>(AG19+AG20)*Premissas!$D$23</f>
        <v/>
      </c>
      <c r="AH22" s="58">
        <f>(AH19+AH20)*Premissas!$D$23</f>
        <v/>
      </c>
      <c r="AI22" s="58">
        <f>(AI19+AI20)*Premissas!$D$23</f>
        <v/>
      </c>
      <c r="AJ22" s="58">
        <f>(AJ19+AJ20)*Premissas!$D$23</f>
        <v/>
      </c>
      <c r="AK22" s="58">
        <f>(AK19+AK20)*Premissas!$D$23</f>
        <v/>
      </c>
      <c r="AL22" s="58">
        <f>(AL19+AL20)*Premissas!$D$23</f>
        <v/>
      </c>
      <c r="AM22" s="58">
        <f>(AM19+AM20)*Premissas!$D$23</f>
        <v/>
      </c>
      <c r="AN22" s="58">
        <f>(AN19+AN20)*Premissas!$D$23</f>
        <v/>
      </c>
      <c r="AO22" s="58">
        <f>(AO19+AO20)*Premissas!$D$23</f>
        <v/>
      </c>
      <c r="AP22" s="58">
        <f>(AP19+AP20)*Premissas!$D$23</f>
        <v/>
      </c>
      <c r="AQ22" s="58">
        <f>(AQ19+AQ20)*Premissas!$D$23</f>
        <v/>
      </c>
      <c r="AR22" s="58">
        <f>(AR19+AR20)*Premissas!$D$23</f>
        <v/>
      </c>
      <c r="AS22" s="58">
        <f>(AS19+AS20)*Premissas!$D$23</f>
        <v/>
      </c>
      <c r="AT22" s="58">
        <f>(AT19+AT20)*Premissas!$D$23</f>
        <v/>
      </c>
      <c r="AU22" s="58">
        <f>(AU19+AU20)*Premissas!$D$23</f>
        <v/>
      </c>
      <c r="AV22" s="58">
        <f>(AV19+AV20)*Premissas!$D$23</f>
        <v/>
      </c>
      <c r="AW22" s="58">
        <f>(AW19+AW20)*Premissas!$D$23</f>
        <v/>
      </c>
      <c r="AX22" s="58">
        <f>(AX19+AX20)*Premissas!$D$23</f>
        <v/>
      </c>
      <c r="AY22" s="58">
        <f>(AY19+AY20)*Premissas!$D$23</f>
        <v/>
      </c>
      <c r="AZ22" s="58">
        <f>(AZ19+AZ20)*Premissas!$D$23</f>
        <v/>
      </c>
      <c r="BA22" s="58">
        <f>(BA19+BA20)*Premissas!$D$23</f>
        <v/>
      </c>
      <c r="BB22" s="58">
        <f>(BB19+BB20)*Premissas!$D$23</f>
        <v/>
      </c>
      <c r="BC22" s="58">
        <f>(BC19+BC20)*Premissas!$D$23</f>
        <v/>
      </c>
      <c r="BD22" s="58">
        <f>(BD19+BD20)*Premissas!$D$23</f>
        <v/>
      </c>
      <c r="BE22" s="58">
        <f>(BE19+BE20)*Premissas!$D$23</f>
        <v/>
      </c>
      <c r="BF22" s="58">
        <f>(BF19+BF20)*Premissas!$D$23</f>
        <v/>
      </c>
      <c r="BG22" s="58">
        <f>(BG19+BG20)*Premissas!$D$23</f>
        <v/>
      </c>
      <c r="BH22" s="58">
        <f>(BH19+BH20)*Premissas!$D$23</f>
        <v/>
      </c>
      <c r="BI22" s="58">
        <f>(BI19+BI20)*Premissas!$D$23</f>
        <v/>
      </c>
      <c r="BJ22" s="58">
        <f>(BJ19+BJ20)*Premissas!$D$23</f>
        <v/>
      </c>
      <c r="BK22" s="58">
        <f>(BK19+BK20)*Premissas!$D$23</f>
        <v/>
      </c>
    </row>
    <row r="23" ht="15" customHeight="1" s="35">
      <c r="A23" s="43" t="inlineStr">
        <is>
          <t>Receita marketplace (R$)</t>
        </is>
      </c>
      <c r="B23" s="53" t="inlineStr">
        <is>
          <t>R$</t>
        </is>
      </c>
      <c r="C23" s="58" t="n">
        <v>0</v>
      </c>
      <c r="D23" s="58">
        <f>D13*Premissas!$D$24</f>
        <v/>
      </c>
      <c r="E23" s="58">
        <f>E13*Premissas!$D$24</f>
        <v/>
      </c>
      <c r="F23" s="58">
        <f>F13*Premissas!$D$24</f>
        <v/>
      </c>
      <c r="G23" s="58">
        <f>G13*Premissas!$D$24</f>
        <v/>
      </c>
      <c r="H23" s="58">
        <f>H13*Premissas!$D$24</f>
        <v/>
      </c>
      <c r="I23" s="58">
        <f>I13*Premissas!$D$24</f>
        <v/>
      </c>
      <c r="J23" s="58">
        <f>J13*Premissas!$D$24</f>
        <v/>
      </c>
      <c r="K23" s="58">
        <f>K13*Premissas!$D$24</f>
        <v/>
      </c>
      <c r="L23" s="58">
        <f>L13*Premissas!$D$24</f>
        <v/>
      </c>
      <c r="M23" s="58">
        <f>M13*Premissas!$D$24</f>
        <v/>
      </c>
      <c r="N23" s="58">
        <f>N13*Premissas!$D$24</f>
        <v/>
      </c>
      <c r="O23" s="58">
        <f>O13*Premissas!$D$24</f>
        <v/>
      </c>
      <c r="P23" s="58">
        <f>P13*Premissas!$D$24</f>
        <v/>
      </c>
      <c r="Q23" s="58">
        <f>Q13*Premissas!$D$24</f>
        <v/>
      </c>
      <c r="R23" s="58">
        <f>R13*Premissas!$D$24</f>
        <v/>
      </c>
      <c r="S23" s="58">
        <f>S13*Premissas!$D$24</f>
        <v/>
      </c>
      <c r="T23" s="58">
        <f>T13*Premissas!$D$24</f>
        <v/>
      </c>
      <c r="U23" s="58">
        <f>U13*Premissas!$D$24</f>
        <v/>
      </c>
      <c r="V23" s="58">
        <f>V13*Premissas!$D$24</f>
        <v/>
      </c>
      <c r="W23" s="58">
        <f>W13*Premissas!$D$24</f>
        <v/>
      </c>
      <c r="X23" s="58">
        <f>X13*Premissas!$D$24</f>
        <v/>
      </c>
      <c r="Y23" s="58">
        <f>Y13*Premissas!$D$24</f>
        <v/>
      </c>
      <c r="Z23" s="58">
        <f>Z13*Premissas!$D$24</f>
        <v/>
      </c>
      <c r="AA23" s="58">
        <f>AA13*Premissas!$D$24</f>
        <v/>
      </c>
      <c r="AB23" s="58">
        <f>AB13*Premissas!$D$24</f>
        <v/>
      </c>
      <c r="AC23" s="58">
        <f>AC13*Premissas!$D$24</f>
        <v/>
      </c>
      <c r="AD23" s="58">
        <f>AD13*Premissas!$D$24</f>
        <v/>
      </c>
      <c r="AE23" s="58">
        <f>AE13*Premissas!$D$24</f>
        <v/>
      </c>
      <c r="AF23" s="58">
        <f>AF13*Premissas!$D$24</f>
        <v/>
      </c>
      <c r="AG23" s="58">
        <f>AG13*Premissas!$D$24</f>
        <v/>
      </c>
      <c r="AH23" s="58">
        <f>AH13*Premissas!$D$24</f>
        <v/>
      </c>
      <c r="AI23" s="58">
        <f>AI13*Premissas!$D$24</f>
        <v/>
      </c>
      <c r="AJ23" s="58">
        <f>AJ13*Premissas!$D$24</f>
        <v/>
      </c>
      <c r="AK23" s="58">
        <f>AK13*Premissas!$D$24</f>
        <v/>
      </c>
      <c r="AL23" s="58">
        <f>AL13*Premissas!$D$24</f>
        <v/>
      </c>
      <c r="AM23" s="58">
        <f>AM13*Premissas!$D$24</f>
        <v/>
      </c>
      <c r="AN23" s="58">
        <f>AN13*Premissas!$D$24</f>
        <v/>
      </c>
      <c r="AO23" s="58">
        <f>AO13*Premissas!$D$24</f>
        <v/>
      </c>
      <c r="AP23" s="58">
        <f>AP13*Premissas!$D$24</f>
        <v/>
      </c>
      <c r="AQ23" s="58">
        <f>AQ13*Premissas!$D$24</f>
        <v/>
      </c>
      <c r="AR23" s="58">
        <f>AR13*Premissas!$D$24</f>
        <v/>
      </c>
      <c r="AS23" s="58">
        <f>AS13*Premissas!$D$24</f>
        <v/>
      </c>
      <c r="AT23" s="58">
        <f>AT13*Premissas!$D$24</f>
        <v/>
      </c>
      <c r="AU23" s="58">
        <f>AU13*Premissas!$D$24</f>
        <v/>
      </c>
      <c r="AV23" s="58">
        <f>AV13*Premissas!$D$24</f>
        <v/>
      </c>
      <c r="AW23" s="58">
        <f>AW13*Premissas!$D$24</f>
        <v/>
      </c>
      <c r="AX23" s="58">
        <f>AX13*Premissas!$D$24</f>
        <v/>
      </c>
      <c r="AY23" s="58">
        <f>AY13*Premissas!$D$24</f>
        <v/>
      </c>
      <c r="AZ23" s="58">
        <f>AZ13*Premissas!$D$24</f>
        <v/>
      </c>
      <c r="BA23" s="58">
        <f>BA13*Premissas!$D$24</f>
        <v/>
      </c>
      <c r="BB23" s="58">
        <f>BB13*Premissas!$D$24</f>
        <v/>
      </c>
      <c r="BC23" s="58">
        <f>BC13*Premissas!$D$24</f>
        <v/>
      </c>
      <c r="BD23" s="58">
        <f>BD13*Premissas!$D$24</f>
        <v/>
      </c>
      <c r="BE23" s="58">
        <f>BE13*Premissas!$D$24</f>
        <v/>
      </c>
      <c r="BF23" s="58">
        <f>BF13*Premissas!$D$24</f>
        <v/>
      </c>
      <c r="BG23" s="58">
        <f>BG13*Premissas!$D$24</f>
        <v/>
      </c>
      <c r="BH23" s="58">
        <f>BH13*Premissas!$D$24</f>
        <v/>
      </c>
      <c r="BI23" s="58">
        <f>BI13*Premissas!$D$24</f>
        <v/>
      </c>
      <c r="BJ23" s="58">
        <f>BJ13*Premissas!$D$24</f>
        <v/>
      </c>
      <c r="BK23" s="58">
        <f>BK13*Premissas!$D$24</f>
        <v/>
      </c>
    </row>
    <row r="24" ht="15" customHeight="1" s="35">
      <c r="A24" s="47" t="inlineStr">
        <is>
          <t>RECEITA TOTAL (R$)</t>
        </is>
      </c>
      <c r="B24" s="53" t="inlineStr">
        <is>
          <t>R$</t>
        </is>
      </c>
      <c r="C24" s="59" t="n">
        <v>0</v>
      </c>
      <c r="D24" s="59">
        <f>D17+D18+D21+D22+D23</f>
        <v/>
      </c>
      <c r="E24" s="59">
        <f>E17+E18+E21+E22+E23</f>
        <v/>
      </c>
      <c r="F24" s="59">
        <f>F17+F18+F21+F22+F23</f>
        <v/>
      </c>
      <c r="G24" s="59">
        <f>G17+G18+G21+G22+G23</f>
        <v/>
      </c>
      <c r="H24" s="59">
        <f>H17+H18+H21+H22+H23</f>
        <v/>
      </c>
      <c r="I24" s="59">
        <f>I17+I18+I21+I22+I23</f>
        <v/>
      </c>
      <c r="J24" s="59">
        <f>J17+J18+J21+J22+J23</f>
        <v/>
      </c>
      <c r="K24" s="59">
        <f>K17+K18+K21+K22+K23</f>
        <v/>
      </c>
      <c r="L24" s="59">
        <f>L17+L18+L21+L22+L23</f>
        <v/>
      </c>
      <c r="M24" s="59">
        <f>M17+M18+M21+M22+M23</f>
        <v/>
      </c>
      <c r="N24" s="59">
        <f>N17+N18+N21+N22+N23</f>
        <v/>
      </c>
      <c r="O24" s="59">
        <f>O17+O18+O21+O22+O23</f>
        <v/>
      </c>
      <c r="P24" s="59">
        <f>P17+P18+P21+P22+P23</f>
        <v/>
      </c>
      <c r="Q24" s="59">
        <f>Q17+Q18+Q21+Q22+Q23</f>
        <v/>
      </c>
      <c r="R24" s="59">
        <f>R17+R18+R21+R22+R23</f>
        <v/>
      </c>
      <c r="S24" s="59">
        <f>S17+S18+S21+S22+S23</f>
        <v/>
      </c>
      <c r="T24" s="59">
        <f>T17+T18+T21+T22+T23</f>
        <v/>
      </c>
      <c r="U24" s="59">
        <f>U17+U18+U21+U22+U23</f>
        <v/>
      </c>
      <c r="V24" s="59">
        <f>V17+V18+V21+V22+V23</f>
        <v/>
      </c>
      <c r="W24" s="59">
        <f>W17+W18+W21+W22+W23</f>
        <v/>
      </c>
      <c r="X24" s="59">
        <f>X17+X18+X21+X22+X23</f>
        <v/>
      </c>
      <c r="Y24" s="59">
        <f>Y17+Y18+Y21+Y22+Y23</f>
        <v/>
      </c>
      <c r="Z24" s="59">
        <f>Z17+Z18+Z21+Z22+Z23</f>
        <v/>
      </c>
      <c r="AA24" s="59">
        <f>AA17+AA18+AA21+AA22+AA23</f>
        <v/>
      </c>
      <c r="AB24" s="59">
        <f>AB17+AB18+AB21+AB22+AB23</f>
        <v/>
      </c>
      <c r="AC24" s="59">
        <f>AC17+AC18+AC21+AC22+AC23</f>
        <v/>
      </c>
      <c r="AD24" s="59">
        <f>AD17+AD18+AD21+AD22+AD23</f>
        <v/>
      </c>
      <c r="AE24" s="59">
        <f>AE17+AE18+AE21+AE22+AE23</f>
        <v/>
      </c>
      <c r="AF24" s="59">
        <f>AF17+AF18+AF21+AF22+AF23</f>
        <v/>
      </c>
      <c r="AG24" s="59">
        <f>AG17+AG18+AG21+AG22+AG23</f>
        <v/>
      </c>
      <c r="AH24" s="59">
        <f>AH17+AH18+AH21+AH22+AH23</f>
        <v/>
      </c>
      <c r="AI24" s="59">
        <f>AI17+AI18+AI21+AI22+AI23</f>
        <v/>
      </c>
      <c r="AJ24" s="59">
        <f>AJ17+AJ18+AJ21+AJ22+AJ23</f>
        <v/>
      </c>
      <c r="AK24" s="59">
        <f>AK17+AK18+AK21+AK22+AK23</f>
        <v/>
      </c>
      <c r="AL24" s="59">
        <f>AL17+AL18+AL21+AL22+AL23</f>
        <v/>
      </c>
      <c r="AM24" s="59">
        <f>AM17+AM18+AM21+AM22+AM23</f>
        <v/>
      </c>
      <c r="AN24" s="59">
        <f>AN17+AN18+AN21+AN22+AN23</f>
        <v/>
      </c>
      <c r="AO24" s="59">
        <f>AO17+AO18+AO21+AO22+AO23</f>
        <v/>
      </c>
      <c r="AP24" s="59">
        <f>AP17+AP18+AP21+AP22+AP23</f>
        <v/>
      </c>
      <c r="AQ24" s="59">
        <f>AQ17+AQ18+AQ21+AQ22+AQ23</f>
        <v/>
      </c>
      <c r="AR24" s="59">
        <f>AR17+AR18+AR21+AR22+AR23</f>
        <v/>
      </c>
      <c r="AS24" s="59">
        <f>AS17+AS18+AS21+AS22+AS23</f>
        <v/>
      </c>
      <c r="AT24" s="59">
        <f>AT17+AT18+AT21+AT22+AT23</f>
        <v/>
      </c>
      <c r="AU24" s="59">
        <f>AU17+AU18+AU21+AU22+AU23</f>
        <v/>
      </c>
      <c r="AV24" s="59">
        <f>AV17+AV18+AV21+AV22+AV23</f>
        <v/>
      </c>
      <c r="AW24" s="59">
        <f>AW17+AW18+AW21+AW22+AW23</f>
        <v/>
      </c>
      <c r="AX24" s="59">
        <f>AX17+AX18+AX21+AX22+AX23</f>
        <v/>
      </c>
      <c r="AY24" s="59">
        <f>AY17+AY18+AY21+AY22+AY23</f>
        <v/>
      </c>
      <c r="AZ24" s="59">
        <f>AZ17+AZ18+AZ21+AZ22+AZ23</f>
        <v/>
      </c>
      <c r="BA24" s="59">
        <f>BA17+BA18+BA21+BA22+BA23</f>
        <v/>
      </c>
      <c r="BB24" s="59">
        <f>BB17+BB18+BB21+BB22+BB23</f>
        <v/>
      </c>
      <c r="BC24" s="59">
        <f>BC17+BC18+BC21+BC22+BC23</f>
        <v/>
      </c>
      <c r="BD24" s="59">
        <f>BD17+BD18+BD21+BD22+BD23</f>
        <v/>
      </c>
      <c r="BE24" s="59">
        <f>BE17+BE18+BE21+BE22+BE23</f>
        <v/>
      </c>
      <c r="BF24" s="59">
        <f>BF17+BF18+BF21+BF22+BF23</f>
        <v/>
      </c>
      <c r="BG24" s="59">
        <f>BG17+BG18+BG21+BG22+BG23</f>
        <v/>
      </c>
      <c r="BH24" s="59">
        <f>BH17+BH18+BH21+BH22+BH23</f>
        <v/>
      </c>
      <c r="BI24" s="59">
        <f>BI17+BI18+BI21+BI22+BI23</f>
        <v/>
      </c>
      <c r="BJ24" s="59">
        <f>BJ17+BJ18+BJ21+BJ22+BJ23</f>
        <v/>
      </c>
      <c r="BK24" s="59">
        <f>BK17+BK18+BK21+BK22+BK23</f>
        <v/>
      </c>
    </row>
    <row r="26" ht="15" customHeight="1" s="35">
      <c r="A26" s="46" t="inlineStr">
        <is>
          <t>── CUSTOS ──</t>
        </is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42" t="n"/>
      <c r="AV26" s="42" t="n"/>
      <c r="AW26" s="42" t="n"/>
      <c r="AX26" s="42" t="n"/>
      <c r="AY26" s="42" t="n"/>
      <c r="AZ26" s="42" t="n"/>
      <c r="BA26" s="42" t="n"/>
      <c r="BB26" s="42" t="n"/>
      <c r="BC26" s="42" t="n"/>
      <c r="BD26" s="42" t="n"/>
      <c r="BE26" s="42" t="n"/>
      <c r="BF26" s="42" t="n"/>
      <c r="BG26" s="42" t="n"/>
      <c r="BH26" s="42" t="n"/>
      <c r="BI26" s="42" t="n"/>
      <c r="BJ26" s="42" t="n"/>
      <c r="BK26" s="42" t="n"/>
    </row>
    <row r="27" ht="15" customHeight="1" s="35">
      <c r="A27" s="43" t="inlineStr">
        <is>
          <t>Custo de infraestrutura variável (R$)</t>
        </is>
      </c>
      <c r="B27" s="53" t="inlineStr">
        <is>
          <t>R$</t>
        </is>
      </c>
      <c r="C27" s="58" t="n">
        <v>0</v>
      </c>
      <c r="D27" s="58">
        <f>CEILING(D15/Premissas!$D$36,1)*Premissas!$D$35</f>
        <v/>
      </c>
      <c r="E27" s="58">
        <f>CEILING(E15/Premissas!$D$36,1)*Premissas!$D$35</f>
        <v/>
      </c>
      <c r="F27" s="58">
        <f>CEILING(F15/Premissas!$D$36,1)*Premissas!$D$35</f>
        <v/>
      </c>
      <c r="G27" s="58">
        <f>CEILING(G15/Premissas!$D$36,1)*Premissas!$D$35</f>
        <v/>
      </c>
      <c r="H27" s="58">
        <f>CEILING(H15/Premissas!$D$36,1)*Premissas!$D$35</f>
        <v/>
      </c>
      <c r="I27" s="58">
        <f>CEILING(I15/Premissas!$D$36,1)*Premissas!$D$35</f>
        <v/>
      </c>
      <c r="J27" s="58">
        <f>CEILING(J15/Premissas!$D$36,1)*Premissas!$D$35</f>
        <v/>
      </c>
      <c r="K27" s="58">
        <f>CEILING(K15/Premissas!$D$36,1)*Premissas!$D$35</f>
        <v/>
      </c>
      <c r="L27" s="58">
        <f>CEILING(L15/Premissas!$D$36,1)*Premissas!$D$35</f>
        <v/>
      </c>
      <c r="M27" s="58">
        <f>CEILING(M15/Premissas!$D$36,1)*Premissas!$D$35</f>
        <v/>
      </c>
      <c r="N27" s="58">
        <f>CEILING(N15/Premissas!$D$36,1)*Premissas!$D$35</f>
        <v/>
      </c>
      <c r="O27" s="58">
        <f>CEILING(O15/Premissas!$D$36,1)*Premissas!$D$35</f>
        <v/>
      </c>
      <c r="P27" s="58">
        <f>CEILING(P15/Premissas!$D$36,1)*Premissas!$D$35</f>
        <v/>
      </c>
      <c r="Q27" s="58">
        <f>CEILING(Q15/Premissas!$D$36,1)*Premissas!$D$35</f>
        <v/>
      </c>
      <c r="R27" s="58">
        <f>CEILING(R15/Premissas!$D$36,1)*Premissas!$D$35</f>
        <v/>
      </c>
      <c r="S27" s="58">
        <f>CEILING(S15/Premissas!$D$36,1)*Premissas!$D$35</f>
        <v/>
      </c>
      <c r="T27" s="58">
        <f>CEILING(T15/Premissas!$D$36,1)*Premissas!$D$35</f>
        <v/>
      </c>
      <c r="U27" s="58">
        <f>CEILING(U15/Premissas!$D$36,1)*Premissas!$D$35</f>
        <v/>
      </c>
      <c r="V27" s="58">
        <f>CEILING(V15/Premissas!$D$36,1)*Premissas!$D$35</f>
        <v/>
      </c>
      <c r="W27" s="58">
        <f>CEILING(W15/Premissas!$D$36,1)*Premissas!$D$35</f>
        <v/>
      </c>
      <c r="X27" s="58">
        <f>CEILING(X15/Premissas!$D$36,1)*Premissas!$D$35</f>
        <v/>
      </c>
      <c r="Y27" s="58">
        <f>CEILING(Y15/Premissas!$D$36,1)*Premissas!$D$35</f>
        <v/>
      </c>
      <c r="Z27" s="58">
        <f>CEILING(Z15/Premissas!$D$36,1)*Premissas!$D$35</f>
        <v/>
      </c>
      <c r="AA27" s="58">
        <f>CEILING(AA15/Premissas!$D$36,1)*Premissas!$D$35</f>
        <v/>
      </c>
      <c r="AB27" s="58">
        <f>CEILING(AB15/Premissas!$D$36,1)*Premissas!$D$35</f>
        <v/>
      </c>
      <c r="AC27" s="58">
        <f>CEILING(AC15/Premissas!$D$36,1)*Premissas!$D$35</f>
        <v/>
      </c>
      <c r="AD27" s="58">
        <f>CEILING(AD15/Premissas!$D$36,1)*Premissas!$D$35</f>
        <v/>
      </c>
      <c r="AE27" s="58">
        <f>CEILING(AE15/Premissas!$D$36,1)*Premissas!$D$35</f>
        <v/>
      </c>
      <c r="AF27" s="58">
        <f>CEILING(AF15/Premissas!$D$36,1)*Premissas!$D$35</f>
        <v/>
      </c>
      <c r="AG27" s="58">
        <f>CEILING(AG15/Premissas!$D$36,1)*Premissas!$D$35</f>
        <v/>
      </c>
      <c r="AH27" s="58">
        <f>CEILING(AH15/Premissas!$D$36,1)*Premissas!$D$35</f>
        <v/>
      </c>
      <c r="AI27" s="58">
        <f>CEILING(AI15/Premissas!$D$36,1)*Premissas!$D$35</f>
        <v/>
      </c>
      <c r="AJ27" s="58">
        <f>CEILING(AJ15/Premissas!$D$36,1)*Premissas!$D$35</f>
        <v/>
      </c>
      <c r="AK27" s="58">
        <f>CEILING(AK15/Premissas!$D$36,1)*Premissas!$D$35</f>
        <v/>
      </c>
      <c r="AL27" s="58">
        <f>CEILING(AL15/Premissas!$D$36,1)*Premissas!$D$35</f>
        <v/>
      </c>
      <c r="AM27" s="58">
        <f>CEILING(AM15/Premissas!$D$36,1)*Premissas!$D$35</f>
        <v/>
      </c>
      <c r="AN27" s="58">
        <f>CEILING(AN15/Premissas!$D$36,1)*Premissas!$D$35</f>
        <v/>
      </c>
      <c r="AO27" s="58">
        <f>CEILING(AO15/Premissas!$D$36,1)*Premissas!$D$35</f>
        <v/>
      </c>
      <c r="AP27" s="58">
        <f>CEILING(AP15/Premissas!$D$36,1)*Premissas!$D$35</f>
        <v/>
      </c>
      <c r="AQ27" s="58">
        <f>CEILING(AQ15/Premissas!$D$36,1)*Premissas!$D$35</f>
        <v/>
      </c>
      <c r="AR27" s="58">
        <f>CEILING(AR15/Premissas!$D$36,1)*Premissas!$D$35</f>
        <v/>
      </c>
      <c r="AS27" s="58">
        <f>CEILING(AS15/Premissas!$D$36,1)*Premissas!$D$35</f>
        <v/>
      </c>
      <c r="AT27" s="58">
        <f>CEILING(AT15/Premissas!$D$36,1)*Premissas!$D$35</f>
        <v/>
      </c>
      <c r="AU27" s="58">
        <f>CEILING(AU15/Premissas!$D$36,1)*Premissas!$D$35</f>
        <v/>
      </c>
      <c r="AV27" s="58">
        <f>CEILING(AV15/Premissas!$D$36,1)*Premissas!$D$35</f>
        <v/>
      </c>
      <c r="AW27" s="58">
        <f>CEILING(AW15/Premissas!$D$36,1)*Premissas!$D$35</f>
        <v/>
      </c>
      <c r="AX27" s="58">
        <f>CEILING(AX15/Premissas!$D$36,1)*Premissas!$D$35</f>
        <v/>
      </c>
      <c r="AY27" s="58">
        <f>CEILING(AY15/Premissas!$D$36,1)*Premissas!$D$35</f>
        <v/>
      </c>
      <c r="AZ27" s="58">
        <f>CEILING(AZ15/Premissas!$D$36,1)*Premissas!$D$35</f>
        <v/>
      </c>
      <c r="BA27" s="58">
        <f>CEILING(BA15/Premissas!$D$36,1)*Premissas!$D$35</f>
        <v/>
      </c>
      <c r="BB27" s="58">
        <f>CEILING(BB15/Premissas!$D$36,1)*Premissas!$D$35</f>
        <v/>
      </c>
      <c r="BC27" s="58">
        <f>CEILING(BC15/Premissas!$D$36,1)*Premissas!$D$35</f>
        <v/>
      </c>
      <c r="BD27" s="58">
        <f>CEILING(BD15/Premissas!$D$36,1)*Premissas!$D$35</f>
        <v/>
      </c>
      <c r="BE27" s="58">
        <f>CEILING(BE15/Premissas!$D$36,1)*Premissas!$D$35</f>
        <v/>
      </c>
      <c r="BF27" s="58">
        <f>CEILING(BF15/Premissas!$D$36,1)*Premissas!$D$35</f>
        <v/>
      </c>
      <c r="BG27" s="58">
        <f>CEILING(BG15/Premissas!$D$36,1)*Premissas!$D$35</f>
        <v/>
      </c>
      <c r="BH27" s="58">
        <f>CEILING(BH15/Premissas!$D$36,1)*Premissas!$D$35</f>
        <v/>
      </c>
      <c r="BI27" s="58">
        <f>CEILING(BI15/Premissas!$D$36,1)*Premissas!$D$35</f>
        <v/>
      </c>
      <c r="BJ27" s="58">
        <f>CEILING(BJ15/Premissas!$D$36,1)*Premissas!$D$35</f>
        <v/>
      </c>
      <c r="BK27" s="58">
        <f>CEILING(BK15/Premissas!$D$36,1)*Premissas!$D$35</f>
        <v/>
      </c>
    </row>
    <row r="28" ht="15" customHeight="1" s="35">
      <c r="A28" s="43" t="inlineStr">
        <is>
          <t>Custo de equipe (R$)</t>
        </is>
      </c>
      <c r="B28" s="53" t="inlineStr">
        <is>
          <t>R$</t>
        </is>
      </c>
      <c r="C28" s="58" t="n">
        <v>0</v>
      </c>
      <c r="D28" s="58">
        <f>ROUNDUP(D13/Premissas!$D$29,0)*Premissas!$D$30</f>
        <v/>
      </c>
      <c r="E28" s="58">
        <f>ROUNDUP(E13/Premissas!$D$29,0)*Premissas!$D$30</f>
        <v/>
      </c>
      <c r="F28" s="58">
        <f>ROUNDUP(F13/Premissas!$D$29,0)*Premissas!$D$30</f>
        <v/>
      </c>
      <c r="G28" s="58">
        <f>ROUNDUP(G13/Premissas!$D$29,0)*Premissas!$D$30</f>
        <v/>
      </c>
      <c r="H28" s="58">
        <f>ROUNDUP(H13/Premissas!$D$29,0)*Premissas!$D$30</f>
        <v/>
      </c>
      <c r="I28" s="58">
        <f>ROUNDUP(I13/Premissas!$D$29,0)*Premissas!$D$30</f>
        <v/>
      </c>
      <c r="J28" s="58">
        <f>ROUNDUP(J13/Premissas!$D$29,0)*Premissas!$D$30</f>
        <v/>
      </c>
      <c r="K28" s="58">
        <f>ROUNDUP(K13/Premissas!$D$29,0)*Premissas!$D$30</f>
        <v/>
      </c>
      <c r="L28" s="58">
        <f>ROUNDUP(L13/Premissas!$D$29,0)*Premissas!$D$30</f>
        <v/>
      </c>
      <c r="M28" s="58">
        <f>ROUNDUP(M13/Premissas!$D$29,0)*Premissas!$D$30</f>
        <v/>
      </c>
      <c r="N28" s="58">
        <f>ROUNDUP(N13/Premissas!$D$29,0)*Premissas!$D$30</f>
        <v/>
      </c>
      <c r="O28" s="58">
        <f>ROUNDUP(O13/Premissas!$D$29,0)*Premissas!$D$30</f>
        <v/>
      </c>
      <c r="P28" s="58">
        <f>ROUNDUP(P13/Premissas!$D$29,0)*Premissas!$D$30</f>
        <v/>
      </c>
      <c r="Q28" s="58">
        <f>ROUNDUP(Q13/Premissas!$D$29,0)*Premissas!$D$30</f>
        <v/>
      </c>
      <c r="R28" s="58">
        <f>ROUNDUP(R13/Premissas!$D$29,0)*Premissas!$D$30</f>
        <v/>
      </c>
      <c r="S28" s="58">
        <f>ROUNDUP(S13/Premissas!$D$29,0)*Premissas!$D$30</f>
        <v/>
      </c>
      <c r="T28" s="58">
        <f>ROUNDUP(T13/Premissas!$D$29,0)*Premissas!$D$30</f>
        <v/>
      </c>
      <c r="U28" s="58">
        <f>ROUNDUP(U13/Premissas!$D$29,0)*Premissas!$D$30</f>
        <v/>
      </c>
      <c r="V28" s="58">
        <f>ROUNDUP(V13/Premissas!$D$29,0)*Premissas!$D$30</f>
        <v/>
      </c>
      <c r="W28" s="58">
        <f>ROUNDUP(W13/Premissas!$D$29,0)*Premissas!$D$30</f>
        <v/>
      </c>
      <c r="X28" s="58">
        <f>ROUNDUP(X13/Premissas!$D$29,0)*Premissas!$D$30</f>
        <v/>
      </c>
      <c r="Y28" s="58">
        <f>ROUNDUP(Y13/Premissas!$D$29,0)*Premissas!$D$30</f>
        <v/>
      </c>
      <c r="Z28" s="58">
        <f>ROUNDUP(Z13/Premissas!$D$29,0)*Premissas!$D$30</f>
        <v/>
      </c>
      <c r="AA28" s="58">
        <f>ROUNDUP(AA13/Premissas!$D$29,0)*Premissas!$D$30</f>
        <v/>
      </c>
      <c r="AB28" s="58">
        <f>ROUNDUP(AB13/Premissas!$D$29,0)*Premissas!$D$30</f>
        <v/>
      </c>
      <c r="AC28" s="58">
        <f>ROUNDUP(AC13/Premissas!$D$29,0)*Premissas!$D$30</f>
        <v/>
      </c>
      <c r="AD28" s="58">
        <f>ROUNDUP(AD13/Premissas!$D$29,0)*Premissas!$D$30</f>
        <v/>
      </c>
      <c r="AE28" s="58">
        <f>ROUNDUP(AE13/Premissas!$D$29,0)*Premissas!$D$30</f>
        <v/>
      </c>
      <c r="AF28" s="58">
        <f>ROUNDUP(AF13/Premissas!$D$29,0)*Premissas!$D$30</f>
        <v/>
      </c>
      <c r="AG28" s="58">
        <f>ROUNDUP(AG13/Premissas!$D$29,0)*Premissas!$D$30</f>
        <v/>
      </c>
      <c r="AH28" s="58">
        <f>ROUNDUP(AH13/Premissas!$D$29,0)*Premissas!$D$30</f>
        <v/>
      </c>
      <c r="AI28" s="58">
        <f>ROUNDUP(AI13/Premissas!$D$29,0)*Premissas!$D$30</f>
        <v/>
      </c>
      <c r="AJ28" s="58">
        <f>ROUNDUP(AJ13/Premissas!$D$29,0)*Premissas!$D$30</f>
        <v/>
      </c>
      <c r="AK28" s="58">
        <f>ROUNDUP(AK13/Premissas!$D$29,0)*Premissas!$D$30</f>
        <v/>
      </c>
      <c r="AL28" s="58">
        <f>ROUNDUP(AL13/Premissas!$D$29,0)*Premissas!$D$30</f>
        <v/>
      </c>
      <c r="AM28" s="58">
        <f>ROUNDUP(AM13/Premissas!$D$29,0)*Premissas!$D$30</f>
        <v/>
      </c>
      <c r="AN28" s="58">
        <f>ROUNDUP(AN13/Premissas!$D$29,0)*Premissas!$D$30</f>
        <v/>
      </c>
      <c r="AO28" s="58">
        <f>ROUNDUP(AO13/Premissas!$D$29,0)*Premissas!$D$30</f>
        <v/>
      </c>
      <c r="AP28" s="58">
        <f>ROUNDUP(AP13/Premissas!$D$29,0)*Premissas!$D$30</f>
        <v/>
      </c>
      <c r="AQ28" s="58">
        <f>ROUNDUP(AQ13/Premissas!$D$29,0)*Premissas!$D$30</f>
        <v/>
      </c>
      <c r="AR28" s="58">
        <f>ROUNDUP(AR13/Premissas!$D$29,0)*Premissas!$D$30</f>
        <v/>
      </c>
      <c r="AS28" s="58">
        <f>ROUNDUP(AS13/Premissas!$D$29,0)*Premissas!$D$30</f>
        <v/>
      </c>
      <c r="AT28" s="58">
        <f>ROUNDUP(AT13/Premissas!$D$29,0)*Premissas!$D$30</f>
        <v/>
      </c>
      <c r="AU28" s="58">
        <f>ROUNDUP(AU13/Premissas!$D$29,0)*Premissas!$D$30</f>
        <v/>
      </c>
      <c r="AV28" s="58">
        <f>ROUNDUP(AV13/Premissas!$D$29,0)*Premissas!$D$30</f>
        <v/>
      </c>
      <c r="AW28" s="58">
        <f>ROUNDUP(AW13/Premissas!$D$29,0)*Premissas!$D$30</f>
        <v/>
      </c>
      <c r="AX28" s="58">
        <f>ROUNDUP(AX13/Premissas!$D$29,0)*Premissas!$D$30</f>
        <v/>
      </c>
      <c r="AY28" s="58">
        <f>ROUNDUP(AY13/Premissas!$D$29,0)*Premissas!$D$30</f>
        <v/>
      </c>
      <c r="AZ28" s="58">
        <f>ROUNDUP(AZ13/Premissas!$D$29,0)*Premissas!$D$30</f>
        <v/>
      </c>
      <c r="BA28" s="58">
        <f>ROUNDUP(BA13/Premissas!$D$29,0)*Premissas!$D$30</f>
        <v/>
      </c>
      <c r="BB28" s="58">
        <f>ROUNDUP(BB13/Premissas!$D$29,0)*Premissas!$D$30</f>
        <v/>
      </c>
      <c r="BC28" s="58">
        <f>ROUNDUP(BC13/Premissas!$D$29,0)*Premissas!$D$30</f>
        <v/>
      </c>
      <c r="BD28" s="58">
        <f>ROUNDUP(BD13/Premissas!$D$29,0)*Premissas!$D$30</f>
        <v/>
      </c>
      <c r="BE28" s="58">
        <f>ROUNDUP(BE13/Premissas!$D$29,0)*Premissas!$D$30</f>
        <v/>
      </c>
      <c r="BF28" s="58">
        <f>ROUNDUP(BF13/Premissas!$D$29,0)*Premissas!$D$30</f>
        <v/>
      </c>
      <c r="BG28" s="58">
        <f>ROUNDUP(BG13/Premissas!$D$29,0)*Premissas!$D$30</f>
        <v/>
      </c>
      <c r="BH28" s="58">
        <f>ROUNDUP(BH13/Premissas!$D$29,0)*Premissas!$D$30</f>
        <v/>
      </c>
      <c r="BI28" s="58">
        <f>ROUNDUP(BI13/Premissas!$D$29,0)*Premissas!$D$30</f>
        <v/>
      </c>
      <c r="BJ28" s="58">
        <f>ROUNDUP(BJ13/Premissas!$D$29,0)*Premissas!$D$30</f>
        <v/>
      </c>
      <c r="BK28" s="58">
        <f>ROUNDUP(BK13/Premissas!$D$29,0)*Premissas!$D$30</f>
        <v/>
      </c>
    </row>
    <row r="29" ht="15" customHeight="1" s="35">
      <c r="A29" s="43" t="inlineStr">
        <is>
          <t>CAC do mês — aquisição de novos cadastros (R$)</t>
        </is>
      </c>
      <c r="B29" s="53" t="inlineStr">
        <is>
          <t>R$</t>
        </is>
      </c>
      <c r="C29" s="58" t="n">
        <v>0</v>
      </c>
      <c r="D29" s="58">
        <f>D6*Premissas!$D$27</f>
        <v/>
      </c>
      <c r="E29" s="58">
        <f>E6*Premissas!$D$27</f>
        <v/>
      </c>
      <c r="F29" s="58">
        <f>F6*Premissas!$D$27</f>
        <v/>
      </c>
      <c r="G29" s="58">
        <f>G6*Premissas!$D$27</f>
        <v/>
      </c>
      <c r="H29" s="58">
        <f>H6*Premissas!$D$27</f>
        <v/>
      </c>
      <c r="I29" s="58">
        <f>I6*Premissas!$D$27</f>
        <v/>
      </c>
      <c r="J29" s="58">
        <f>J6*Premissas!$D$27</f>
        <v/>
      </c>
      <c r="K29" s="58">
        <f>K6*Premissas!$D$27</f>
        <v/>
      </c>
      <c r="L29" s="58">
        <f>L6*Premissas!$D$27</f>
        <v/>
      </c>
      <c r="M29" s="58">
        <f>M6*Premissas!$D$27</f>
        <v/>
      </c>
      <c r="N29" s="58">
        <f>N6*Premissas!$D$27</f>
        <v/>
      </c>
      <c r="O29" s="58">
        <f>O6*Premissas!$D$27</f>
        <v/>
      </c>
      <c r="P29" s="58">
        <f>P6*Premissas!$D$27</f>
        <v/>
      </c>
      <c r="Q29" s="58">
        <f>Q6*Premissas!$D$27</f>
        <v/>
      </c>
      <c r="R29" s="58">
        <f>R6*Premissas!$D$27</f>
        <v/>
      </c>
      <c r="S29" s="58">
        <f>S6*Premissas!$D$27</f>
        <v/>
      </c>
      <c r="T29" s="58">
        <f>T6*Premissas!$D$27</f>
        <v/>
      </c>
      <c r="U29" s="58">
        <f>U6*Premissas!$D$27</f>
        <v/>
      </c>
      <c r="V29" s="58">
        <f>V6*Premissas!$D$27</f>
        <v/>
      </c>
      <c r="W29" s="58">
        <f>W6*Premissas!$D$27</f>
        <v/>
      </c>
      <c r="X29" s="58">
        <f>X6*Premissas!$D$27</f>
        <v/>
      </c>
      <c r="Y29" s="58">
        <f>Y6*Premissas!$D$27</f>
        <v/>
      </c>
      <c r="Z29" s="58">
        <f>Z6*Premissas!$D$27</f>
        <v/>
      </c>
      <c r="AA29" s="58">
        <f>AA6*Premissas!$D$27</f>
        <v/>
      </c>
      <c r="AB29" s="58">
        <f>AB6*Premissas!$D$27</f>
        <v/>
      </c>
      <c r="AC29" s="58">
        <f>AC6*Premissas!$D$27</f>
        <v/>
      </c>
      <c r="AD29" s="58">
        <f>AD6*Premissas!$D$27</f>
        <v/>
      </c>
      <c r="AE29" s="58">
        <f>AE6*Premissas!$D$27</f>
        <v/>
      </c>
      <c r="AF29" s="58">
        <f>AF6*Premissas!$D$27</f>
        <v/>
      </c>
      <c r="AG29" s="58">
        <f>AG6*Premissas!$D$27</f>
        <v/>
      </c>
      <c r="AH29" s="58">
        <f>AH6*Premissas!$D$27</f>
        <v/>
      </c>
      <c r="AI29" s="58">
        <f>AI6*Premissas!$D$27</f>
        <v/>
      </c>
      <c r="AJ29" s="58">
        <f>AJ6*Premissas!$D$27</f>
        <v/>
      </c>
      <c r="AK29" s="58">
        <f>AK6*Premissas!$D$27</f>
        <v/>
      </c>
      <c r="AL29" s="58">
        <f>AL6*Premissas!$D$27</f>
        <v/>
      </c>
      <c r="AM29" s="58">
        <f>AM6*Premissas!$D$27</f>
        <v/>
      </c>
      <c r="AN29" s="58">
        <f>AN6*Premissas!$D$27</f>
        <v/>
      </c>
      <c r="AO29" s="58">
        <f>AO6*Premissas!$D$27</f>
        <v/>
      </c>
      <c r="AP29" s="58">
        <f>AP6*Premissas!$D$27</f>
        <v/>
      </c>
      <c r="AQ29" s="58">
        <f>AQ6*Premissas!$D$27</f>
        <v/>
      </c>
      <c r="AR29" s="58">
        <f>AR6*Premissas!$D$27</f>
        <v/>
      </c>
      <c r="AS29" s="58">
        <f>AS6*Premissas!$D$27</f>
        <v/>
      </c>
      <c r="AT29" s="58">
        <f>AT6*Premissas!$D$27</f>
        <v/>
      </c>
      <c r="AU29" s="58">
        <f>AU6*Premissas!$D$27</f>
        <v/>
      </c>
      <c r="AV29" s="58">
        <f>AV6*Premissas!$D$27</f>
        <v/>
      </c>
      <c r="AW29" s="58">
        <f>AW6*Premissas!$D$27</f>
        <v/>
      </c>
      <c r="AX29" s="58">
        <f>AX6*Premissas!$D$27</f>
        <v/>
      </c>
      <c r="AY29" s="58">
        <f>AY6*Premissas!$D$27</f>
        <v/>
      </c>
      <c r="AZ29" s="58">
        <f>AZ6*Premissas!$D$27</f>
        <v/>
      </c>
      <c r="BA29" s="58">
        <f>BA6*Premissas!$D$27</f>
        <v/>
      </c>
      <c r="BB29" s="58">
        <f>BB6*Premissas!$D$27</f>
        <v/>
      </c>
      <c r="BC29" s="58">
        <f>BC6*Premissas!$D$27</f>
        <v/>
      </c>
      <c r="BD29" s="58">
        <f>BD6*Premissas!$D$27</f>
        <v/>
      </c>
      <c r="BE29" s="58">
        <f>BE6*Premissas!$D$27</f>
        <v/>
      </c>
      <c r="BF29" s="58">
        <f>BF6*Premissas!$D$27</f>
        <v/>
      </c>
      <c r="BG29" s="58">
        <f>BG6*Premissas!$D$27</f>
        <v/>
      </c>
      <c r="BH29" s="58">
        <f>BH6*Premissas!$D$27</f>
        <v/>
      </c>
      <c r="BI29" s="58">
        <f>BI6*Premissas!$D$27</f>
        <v/>
      </c>
      <c r="BJ29" s="58">
        <f>BJ6*Premissas!$D$27</f>
        <v/>
      </c>
      <c r="BK29" s="58">
        <f>BK6*Premissas!$D$27</f>
        <v/>
      </c>
    </row>
    <row r="30" ht="15" customHeight="1" s="35">
      <c r="A30" s="43" t="inlineStr">
        <is>
          <t>Custos fixos administrativos (R$)</t>
        </is>
      </c>
      <c r="B30" s="53" t="inlineStr">
        <is>
          <t>R$</t>
        </is>
      </c>
      <c r="C30" s="58" t="n">
        <v>0</v>
      </c>
      <c r="D30" s="58">
        <f>Premissas!$D$31</f>
        <v/>
      </c>
      <c r="E30" s="58">
        <f>Premissas!$D$31</f>
        <v/>
      </c>
      <c r="F30" s="58">
        <f>Premissas!$D$31</f>
        <v/>
      </c>
      <c r="G30" s="58">
        <f>Premissas!$D$31</f>
        <v/>
      </c>
      <c r="H30" s="58">
        <f>Premissas!$D$31</f>
        <v/>
      </c>
      <c r="I30" s="58">
        <f>Premissas!$D$31</f>
        <v/>
      </c>
      <c r="J30" s="58">
        <f>Premissas!$D$31</f>
        <v/>
      </c>
      <c r="K30" s="58">
        <f>Premissas!$D$31</f>
        <v/>
      </c>
      <c r="L30" s="58">
        <f>Premissas!$D$31</f>
        <v/>
      </c>
      <c r="M30" s="58">
        <f>Premissas!$D$31</f>
        <v/>
      </c>
      <c r="N30" s="58">
        <f>Premissas!$D$31</f>
        <v/>
      </c>
      <c r="O30" s="58">
        <f>Premissas!$D$31</f>
        <v/>
      </c>
      <c r="P30" s="58">
        <f>Premissas!$D$31</f>
        <v/>
      </c>
      <c r="Q30" s="58">
        <f>Premissas!$D$31</f>
        <v/>
      </c>
      <c r="R30" s="58">
        <f>Premissas!$D$31</f>
        <v/>
      </c>
      <c r="S30" s="58">
        <f>Premissas!$D$31</f>
        <v/>
      </c>
      <c r="T30" s="58">
        <f>Premissas!$D$31</f>
        <v/>
      </c>
      <c r="U30" s="58">
        <f>Premissas!$D$31</f>
        <v/>
      </c>
      <c r="V30" s="58">
        <f>Premissas!$D$31</f>
        <v/>
      </c>
      <c r="W30" s="58">
        <f>Premissas!$D$31</f>
        <v/>
      </c>
      <c r="X30" s="58">
        <f>Premissas!$D$31</f>
        <v/>
      </c>
      <c r="Y30" s="58">
        <f>Premissas!$D$31</f>
        <v/>
      </c>
      <c r="Z30" s="58">
        <f>Premissas!$D$31</f>
        <v/>
      </c>
      <c r="AA30" s="58">
        <f>Premissas!$D$31</f>
        <v/>
      </c>
      <c r="AB30" s="58">
        <f>Premissas!$D$31</f>
        <v/>
      </c>
      <c r="AC30" s="58">
        <f>Premissas!$D$31</f>
        <v/>
      </c>
      <c r="AD30" s="58">
        <f>Premissas!$D$31</f>
        <v/>
      </c>
      <c r="AE30" s="58">
        <f>Premissas!$D$31</f>
        <v/>
      </c>
      <c r="AF30" s="58">
        <f>Premissas!$D$31</f>
        <v/>
      </c>
      <c r="AG30" s="58">
        <f>Premissas!$D$31</f>
        <v/>
      </c>
      <c r="AH30" s="58">
        <f>Premissas!$D$31</f>
        <v/>
      </c>
      <c r="AI30" s="58">
        <f>Premissas!$D$31</f>
        <v/>
      </c>
      <c r="AJ30" s="58">
        <f>Premissas!$D$31</f>
        <v/>
      </c>
      <c r="AK30" s="58">
        <f>Premissas!$D$31</f>
        <v/>
      </c>
      <c r="AL30" s="58">
        <f>Premissas!$D$31</f>
        <v/>
      </c>
      <c r="AM30" s="58">
        <f>Premissas!$D$31</f>
        <v/>
      </c>
      <c r="AN30" s="58">
        <f>Premissas!$D$31</f>
        <v/>
      </c>
      <c r="AO30" s="58">
        <f>Premissas!$D$31</f>
        <v/>
      </c>
      <c r="AP30" s="58">
        <f>Premissas!$D$31</f>
        <v/>
      </c>
      <c r="AQ30" s="58">
        <f>Premissas!$D$31</f>
        <v/>
      </c>
      <c r="AR30" s="58">
        <f>Premissas!$D$31</f>
        <v/>
      </c>
      <c r="AS30" s="58">
        <f>Premissas!$D$31</f>
        <v/>
      </c>
      <c r="AT30" s="58">
        <f>Premissas!$D$31</f>
        <v/>
      </c>
      <c r="AU30" s="58">
        <f>Premissas!$D$31</f>
        <v/>
      </c>
      <c r="AV30" s="58">
        <f>Premissas!$D$31</f>
        <v/>
      </c>
      <c r="AW30" s="58">
        <f>Premissas!$D$31</f>
        <v/>
      </c>
      <c r="AX30" s="58">
        <f>Premissas!$D$31</f>
        <v/>
      </c>
      <c r="AY30" s="58">
        <f>Premissas!$D$31</f>
        <v/>
      </c>
      <c r="AZ30" s="58">
        <f>Premissas!$D$31</f>
        <v/>
      </c>
      <c r="BA30" s="58">
        <f>Premissas!$D$31</f>
        <v/>
      </c>
      <c r="BB30" s="58">
        <f>Premissas!$D$31</f>
        <v/>
      </c>
      <c r="BC30" s="58">
        <f>Premissas!$D$31</f>
        <v/>
      </c>
      <c r="BD30" s="58">
        <f>Premissas!$D$31</f>
        <v/>
      </c>
      <c r="BE30" s="58">
        <f>Premissas!$D$31</f>
        <v/>
      </c>
      <c r="BF30" s="58">
        <f>Premissas!$D$31</f>
        <v/>
      </c>
      <c r="BG30" s="58">
        <f>Premissas!$D$31</f>
        <v/>
      </c>
      <c r="BH30" s="58">
        <f>Premissas!$D$31</f>
        <v/>
      </c>
      <c r="BI30" s="58">
        <f>Premissas!$D$31</f>
        <v/>
      </c>
      <c r="BJ30" s="58">
        <f>Premissas!$D$31</f>
        <v/>
      </c>
      <c r="BK30" s="58">
        <f>Premissas!$D$31</f>
        <v/>
      </c>
    </row>
    <row r="31" ht="15" customHeight="1" s="35">
      <c r="A31" s="43" t="inlineStr">
        <is>
          <t>Impostos — Simples Nacional (R$)</t>
        </is>
      </c>
      <c r="B31" s="53" t="inlineStr">
        <is>
          <t>R$</t>
        </is>
      </c>
      <c r="C31" s="58" t="n">
        <v>0</v>
      </c>
      <c r="D31" s="58">
        <f>D24*Premissas!$D$32</f>
        <v/>
      </c>
      <c r="E31" s="58">
        <f>E24*Premissas!$D$32</f>
        <v/>
      </c>
      <c r="F31" s="58">
        <f>F24*Premissas!$D$32</f>
        <v/>
      </c>
      <c r="G31" s="58">
        <f>G24*Premissas!$D$32</f>
        <v/>
      </c>
      <c r="H31" s="58">
        <f>H24*Premissas!$D$32</f>
        <v/>
      </c>
      <c r="I31" s="58">
        <f>I24*Premissas!$D$32</f>
        <v/>
      </c>
      <c r="J31" s="58">
        <f>J24*Premissas!$D$32</f>
        <v/>
      </c>
      <c r="K31" s="58">
        <f>K24*Premissas!$D$32</f>
        <v/>
      </c>
      <c r="L31" s="58">
        <f>L24*Premissas!$D$32</f>
        <v/>
      </c>
      <c r="M31" s="58">
        <f>M24*Premissas!$D$32</f>
        <v/>
      </c>
      <c r="N31" s="58">
        <f>N24*Premissas!$D$32</f>
        <v/>
      </c>
      <c r="O31" s="58">
        <f>O24*Premissas!$D$32</f>
        <v/>
      </c>
      <c r="P31" s="58">
        <f>P24*Premissas!$D$32</f>
        <v/>
      </c>
      <c r="Q31" s="58">
        <f>Q24*Premissas!$D$32</f>
        <v/>
      </c>
      <c r="R31" s="58">
        <f>R24*Premissas!$D$32</f>
        <v/>
      </c>
      <c r="S31" s="58">
        <f>S24*Premissas!$D$32</f>
        <v/>
      </c>
      <c r="T31" s="58">
        <f>T24*Premissas!$D$32</f>
        <v/>
      </c>
      <c r="U31" s="58">
        <f>U24*Premissas!$D$32</f>
        <v/>
      </c>
      <c r="V31" s="58">
        <f>V24*Premissas!$D$32</f>
        <v/>
      </c>
      <c r="W31" s="58">
        <f>W24*Premissas!$D$32</f>
        <v/>
      </c>
      <c r="X31" s="58">
        <f>X24*Premissas!$D$32</f>
        <v/>
      </c>
      <c r="Y31" s="58">
        <f>Y24*Premissas!$D$32</f>
        <v/>
      </c>
      <c r="Z31" s="58">
        <f>Z24*Premissas!$D$32</f>
        <v/>
      </c>
      <c r="AA31" s="58">
        <f>AA24*Premissas!$D$32</f>
        <v/>
      </c>
      <c r="AB31" s="58">
        <f>AB24*Premissas!$D$32</f>
        <v/>
      </c>
      <c r="AC31" s="58">
        <f>AC24*Premissas!$D$32</f>
        <v/>
      </c>
      <c r="AD31" s="58">
        <f>AD24*Premissas!$D$32</f>
        <v/>
      </c>
      <c r="AE31" s="58">
        <f>AE24*Premissas!$D$32</f>
        <v/>
      </c>
      <c r="AF31" s="58">
        <f>AF24*Premissas!$D$32</f>
        <v/>
      </c>
      <c r="AG31" s="58">
        <f>AG24*Premissas!$D$32</f>
        <v/>
      </c>
      <c r="AH31" s="58">
        <f>AH24*Premissas!$D$32</f>
        <v/>
      </c>
      <c r="AI31" s="58">
        <f>AI24*Premissas!$D$32</f>
        <v/>
      </c>
      <c r="AJ31" s="58">
        <f>AJ24*Premissas!$D$32</f>
        <v/>
      </c>
      <c r="AK31" s="58">
        <f>AK24*Premissas!$D$32</f>
        <v/>
      </c>
      <c r="AL31" s="58">
        <f>AL24*Premissas!$D$32</f>
        <v/>
      </c>
      <c r="AM31" s="58">
        <f>AM24*Premissas!$D$32</f>
        <v/>
      </c>
      <c r="AN31" s="58">
        <f>AN24*Premissas!$D$32</f>
        <v/>
      </c>
      <c r="AO31" s="58">
        <f>AO24*Premissas!$D$32</f>
        <v/>
      </c>
      <c r="AP31" s="58">
        <f>AP24*Premissas!$D$32</f>
        <v/>
      </c>
      <c r="AQ31" s="58">
        <f>AQ24*Premissas!$D$32</f>
        <v/>
      </c>
      <c r="AR31" s="58">
        <f>AR24*Premissas!$D$32</f>
        <v/>
      </c>
      <c r="AS31" s="58">
        <f>AS24*Premissas!$D$32</f>
        <v/>
      </c>
      <c r="AT31" s="58">
        <f>AT24*Premissas!$D$32</f>
        <v/>
      </c>
      <c r="AU31" s="58">
        <f>AU24*Premissas!$D$32</f>
        <v/>
      </c>
      <c r="AV31" s="58">
        <f>AV24*Premissas!$D$32</f>
        <v/>
      </c>
      <c r="AW31" s="58">
        <f>AW24*Premissas!$D$32</f>
        <v/>
      </c>
      <c r="AX31" s="58">
        <f>AX24*Premissas!$D$32</f>
        <v/>
      </c>
      <c r="AY31" s="58">
        <f>AY24*Premissas!$D$32</f>
        <v/>
      </c>
      <c r="AZ31" s="58">
        <f>AZ24*Premissas!$D$32</f>
        <v/>
      </c>
      <c r="BA31" s="58">
        <f>BA24*Premissas!$D$32</f>
        <v/>
      </c>
      <c r="BB31" s="58">
        <f>BB24*Premissas!$D$32</f>
        <v/>
      </c>
      <c r="BC31" s="58">
        <f>BC24*Premissas!$D$32</f>
        <v/>
      </c>
      <c r="BD31" s="58">
        <f>BD24*Premissas!$D$32</f>
        <v/>
      </c>
      <c r="BE31" s="58">
        <f>BE24*Premissas!$D$32</f>
        <v/>
      </c>
      <c r="BF31" s="58">
        <f>BF24*Premissas!$D$32</f>
        <v/>
      </c>
      <c r="BG31" s="58">
        <f>BG24*Premissas!$D$32</f>
        <v/>
      </c>
      <c r="BH31" s="58">
        <f>BH24*Premissas!$D$32</f>
        <v/>
      </c>
      <c r="BI31" s="58">
        <f>BI24*Premissas!$D$32</f>
        <v/>
      </c>
      <c r="BJ31" s="58">
        <f>BJ24*Premissas!$D$32</f>
        <v/>
      </c>
      <c r="BK31" s="58">
        <f>BK24*Premissas!$D$32</f>
        <v/>
      </c>
    </row>
    <row r="32" ht="15" customHeight="1" s="35">
      <c r="A32" s="47" t="inlineStr">
        <is>
          <t>DESPESAS TOTAIS (R$)</t>
        </is>
      </c>
      <c r="B32" s="53" t="inlineStr">
        <is>
          <t>R$</t>
        </is>
      </c>
      <c r="C32" s="59" t="n">
        <v>0</v>
      </c>
      <c r="D32" s="59">
        <f>D27+D28+D29+D30+D31</f>
        <v/>
      </c>
      <c r="E32" s="59">
        <f>E27+E28+E29+E30+E31</f>
        <v/>
      </c>
      <c r="F32" s="59">
        <f>F27+F28+F29+F30+F31</f>
        <v/>
      </c>
      <c r="G32" s="59">
        <f>G27+G28+G29+G30+G31</f>
        <v/>
      </c>
      <c r="H32" s="59">
        <f>H27+H28+H29+H30+H31</f>
        <v/>
      </c>
      <c r="I32" s="59">
        <f>I27+I28+I29+I30+I31</f>
        <v/>
      </c>
      <c r="J32" s="59">
        <f>J27+J28+J29+J30+J31</f>
        <v/>
      </c>
      <c r="K32" s="59">
        <f>K27+K28+K29+K30+K31</f>
        <v/>
      </c>
      <c r="L32" s="59">
        <f>L27+L28+L29+L30+L31</f>
        <v/>
      </c>
      <c r="M32" s="59">
        <f>M27+M28+M29+M30+M31</f>
        <v/>
      </c>
      <c r="N32" s="59">
        <f>N27+N28+N29+N30+N31</f>
        <v/>
      </c>
      <c r="O32" s="59">
        <f>O27+O28+O29+O30+O31</f>
        <v/>
      </c>
      <c r="P32" s="59">
        <f>P27+P28+P29+P30+P31</f>
        <v/>
      </c>
      <c r="Q32" s="59">
        <f>Q27+Q28+Q29+Q30+Q31</f>
        <v/>
      </c>
      <c r="R32" s="59">
        <f>R27+R28+R29+R30+R31</f>
        <v/>
      </c>
      <c r="S32" s="59">
        <f>S27+S28+S29+S30+S31</f>
        <v/>
      </c>
      <c r="T32" s="59">
        <f>T27+T28+T29+T30+T31</f>
        <v/>
      </c>
      <c r="U32" s="59">
        <f>U27+U28+U29+U30+U31</f>
        <v/>
      </c>
      <c r="V32" s="59">
        <f>V27+V28+V29+V30+V31</f>
        <v/>
      </c>
      <c r="W32" s="59">
        <f>W27+W28+W29+W30+W31</f>
        <v/>
      </c>
      <c r="X32" s="59">
        <f>X27+X28+X29+X30+X31</f>
        <v/>
      </c>
      <c r="Y32" s="59">
        <f>Y27+Y28+Y29+Y30+Y31</f>
        <v/>
      </c>
      <c r="Z32" s="59">
        <f>Z27+Z28+Z29+Z30+Z31</f>
        <v/>
      </c>
      <c r="AA32" s="59">
        <f>AA27+AA28+AA29+AA30+AA31</f>
        <v/>
      </c>
      <c r="AB32" s="59">
        <f>AB27+AB28+AB29+AB30+AB31</f>
        <v/>
      </c>
      <c r="AC32" s="59">
        <f>AC27+AC28+AC29+AC30+AC31</f>
        <v/>
      </c>
      <c r="AD32" s="59">
        <f>AD27+AD28+AD29+AD30+AD31</f>
        <v/>
      </c>
      <c r="AE32" s="59">
        <f>AE27+AE28+AE29+AE30+AE31</f>
        <v/>
      </c>
      <c r="AF32" s="59">
        <f>AF27+AF28+AF29+AF30+AF31</f>
        <v/>
      </c>
      <c r="AG32" s="59">
        <f>AG27+AG28+AG29+AG30+AG31</f>
        <v/>
      </c>
      <c r="AH32" s="59">
        <f>AH27+AH28+AH29+AH30+AH31</f>
        <v/>
      </c>
      <c r="AI32" s="59">
        <f>AI27+AI28+AI29+AI30+AI31</f>
        <v/>
      </c>
      <c r="AJ32" s="59">
        <f>AJ27+AJ28+AJ29+AJ30+AJ31</f>
        <v/>
      </c>
      <c r="AK32" s="59">
        <f>AK27+AK28+AK29+AK30+AK31</f>
        <v/>
      </c>
      <c r="AL32" s="59">
        <f>AL27+AL28+AL29+AL30+AL31</f>
        <v/>
      </c>
      <c r="AM32" s="59">
        <f>AM27+AM28+AM29+AM30+AM31</f>
        <v/>
      </c>
      <c r="AN32" s="59">
        <f>AN27+AN28+AN29+AN30+AN31</f>
        <v/>
      </c>
      <c r="AO32" s="59">
        <f>AO27+AO28+AO29+AO30+AO31</f>
        <v/>
      </c>
      <c r="AP32" s="59">
        <f>AP27+AP28+AP29+AP30+AP31</f>
        <v/>
      </c>
      <c r="AQ32" s="59">
        <f>AQ27+AQ28+AQ29+AQ30+AQ31</f>
        <v/>
      </c>
      <c r="AR32" s="59">
        <f>AR27+AR28+AR29+AR30+AR31</f>
        <v/>
      </c>
      <c r="AS32" s="59">
        <f>AS27+AS28+AS29+AS30+AS31</f>
        <v/>
      </c>
      <c r="AT32" s="59">
        <f>AT27+AT28+AT29+AT30+AT31</f>
        <v/>
      </c>
      <c r="AU32" s="59">
        <f>AU27+AU28+AU29+AU30+AU31</f>
        <v/>
      </c>
      <c r="AV32" s="59">
        <f>AV27+AV28+AV29+AV30+AV31</f>
        <v/>
      </c>
      <c r="AW32" s="59">
        <f>AW27+AW28+AW29+AW30+AW31</f>
        <v/>
      </c>
      <c r="AX32" s="59">
        <f>AX27+AX28+AX29+AX30+AX31</f>
        <v/>
      </c>
      <c r="AY32" s="59">
        <f>AY27+AY28+AY29+AY30+AY31</f>
        <v/>
      </c>
      <c r="AZ32" s="59">
        <f>AZ27+AZ28+AZ29+AZ30+AZ31</f>
        <v/>
      </c>
      <c r="BA32" s="59">
        <f>BA27+BA28+BA29+BA30+BA31</f>
        <v/>
      </c>
      <c r="BB32" s="59">
        <f>BB27+BB28+BB29+BB30+BB31</f>
        <v/>
      </c>
      <c r="BC32" s="59">
        <f>BC27+BC28+BC29+BC30+BC31</f>
        <v/>
      </c>
      <c r="BD32" s="59">
        <f>BD27+BD28+BD29+BD30+BD31</f>
        <v/>
      </c>
      <c r="BE32" s="59">
        <f>BE27+BE28+BE29+BE30+BE31</f>
        <v/>
      </c>
      <c r="BF32" s="59">
        <f>BF27+BF28+BF29+BF30+BF31</f>
        <v/>
      </c>
      <c r="BG32" s="59">
        <f>BG27+BG28+BG29+BG30+BG31</f>
        <v/>
      </c>
      <c r="BH32" s="59">
        <f>BH27+BH28+BH29+BH30+BH31</f>
        <v/>
      </c>
      <c r="BI32" s="59">
        <f>BI27+BI28+BI29+BI30+BI31</f>
        <v/>
      </c>
      <c r="BJ32" s="59">
        <f>BJ27+BJ28+BJ29+BJ30+BJ31</f>
        <v/>
      </c>
      <c r="BK32" s="59">
        <f>BK27+BK28+BK29+BK30+BK31</f>
        <v/>
      </c>
    </row>
    <row r="34" ht="15" customHeight="1" s="35">
      <c r="A34" s="46" t="inlineStr">
        <is>
          <t>── RESULTADO ──</t>
        </is>
      </c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42" t="n"/>
      <c r="AB34" s="42" t="n"/>
      <c r="AC34" s="42" t="n"/>
      <c r="AD34" s="42" t="n"/>
      <c r="AE34" s="42" t="n"/>
      <c r="AF34" s="42" t="n"/>
      <c r="AG34" s="42" t="n"/>
      <c r="AH34" s="42" t="n"/>
      <c r="AI34" s="42" t="n"/>
      <c r="AJ34" s="42" t="n"/>
      <c r="AK34" s="42" t="n"/>
      <c r="AL34" s="42" t="n"/>
      <c r="AM34" s="42" t="n"/>
      <c r="AN34" s="42" t="n"/>
      <c r="AO34" s="42" t="n"/>
      <c r="AP34" s="42" t="n"/>
      <c r="AQ34" s="42" t="n"/>
      <c r="AR34" s="42" t="n"/>
      <c r="AS34" s="42" t="n"/>
      <c r="AT34" s="42" t="n"/>
      <c r="AU34" s="42" t="n"/>
      <c r="AV34" s="42" t="n"/>
      <c r="AW34" s="42" t="n"/>
      <c r="AX34" s="42" t="n"/>
      <c r="AY34" s="42" t="n"/>
      <c r="AZ34" s="42" t="n"/>
      <c r="BA34" s="42" t="n"/>
      <c r="BB34" s="42" t="n"/>
      <c r="BC34" s="42" t="n"/>
      <c r="BD34" s="42" t="n"/>
      <c r="BE34" s="42" t="n"/>
      <c r="BF34" s="42" t="n"/>
      <c r="BG34" s="42" t="n"/>
      <c r="BH34" s="42" t="n"/>
      <c r="BI34" s="42" t="n"/>
      <c r="BJ34" s="42" t="n"/>
      <c r="BK34" s="42" t="n"/>
    </row>
    <row r="35" ht="15" customHeight="1" s="35">
      <c r="A35" s="47" t="inlineStr">
        <is>
          <t>LUCRO LÍQUIDO DO MÊS (R$)</t>
        </is>
      </c>
      <c r="B35" s="53" t="inlineStr">
        <is>
          <t>R$</t>
        </is>
      </c>
      <c r="C35" s="59" t="n">
        <v>0</v>
      </c>
      <c r="D35" s="59">
        <f>D24-D32</f>
        <v/>
      </c>
      <c r="E35" s="59">
        <f>E24-E32</f>
        <v/>
      </c>
      <c r="F35" s="59">
        <f>F24-F32</f>
        <v/>
      </c>
      <c r="G35" s="59">
        <f>G24-G32</f>
        <v/>
      </c>
      <c r="H35" s="59">
        <f>H24-H32</f>
        <v/>
      </c>
      <c r="I35" s="59">
        <f>I24-I32</f>
        <v/>
      </c>
      <c r="J35" s="59">
        <f>J24-J32</f>
        <v/>
      </c>
      <c r="K35" s="59">
        <f>K24-K32</f>
        <v/>
      </c>
      <c r="L35" s="59">
        <f>L24-L32</f>
        <v/>
      </c>
      <c r="M35" s="59">
        <f>M24-M32</f>
        <v/>
      </c>
      <c r="N35" s="59">
        <f>N24-N32</f>
        <v/>
      </c>
      <c r="O35" s="59">
        <f>O24-O32</f>
        <v/>
      </c>
      <c r="P35" s="59">
        <f>P24-P32</f>
        <v/>
      </c>
      <c r="Q35" s="59">
        <f>Q24-Q32</f>
        <v/>
      </c>
      <c r="R35" s="59">
        <f>R24-R32</f>
        <v/>
      </c>
      <c r="S35" s="59">
        <f>S24-S32</f>
        <v/>
      </c>
      <c r="T35" s="59">
        <f>T24-T32</f>
        <v/>
      </c>
      <c r="U35" s="59">
        <f>U24-U32</f>
        <v/>
      </c>
      <c r="V35" s="59">
        <f>V24-V32</f>
        <v/>
      </c>
      <c r="W35" s="59">
        <f>W24-W32</f>
        <v/>
      </c>
      <c r="X35" s="59">
        <f>X24-X32</f>
        <v/>
      </c>
      <c r="Y35" s="59">
        <f>Y24-Y32</f>
        <v/>
      </c>
      <c r="Z35" s="59">
        <f>Z24-Z32</f>
        <v/>
      </c>
      <c r="AA35" s="59">
        <f>AA24-AA32</f>
        <v/>
      </c>
      <c r="AB35" s="59">
        <f>AB24-AB32</f>
        <v/>
      </c>
      <c r="AC35" s="59">
        <f>AC24-AC32</f>
        <v/>
      </c>
      <c r="AD35" s="59">
        <f>AD24-AD32</f>
        <v/>
      </c>
      <c r="AE35" s="59">
        <f>AE24-AE32</f>
        <v/>
      </c>
      <c r="AF35" s="59">
        <f>AF24-AF32</f>
        <v/>
      </c>
      <c r="AG35" s="59">
        <f>AG24-AG32</f>
        <v/>
      </c>
      <c r="AH35" s="59">
        <f>AH24-AH32</f>
        <v/>
      </c>
      <c r="AI35" s="59">
        <f>AI24-AI32</f>
        <v/>
      </c>
      <c r="AJ35" s="59">
        <f>AJ24-AJ32</f>
        <v/>
      </c>
      <c r="AK35" s="59">
        <f>AK24-AK32</f>
        <v/>
      </c>
      <c r="AL35" s="59">
        <f>AL24-AL32</f>
        <v/>
      </c>
      <c r="AM35" s="59">
        <f>AM24-AM32</f>
        <v/>
      </c>
      <c r="AN35" s="59">
        <f>AN24-AN32</f>
        <v/>
      </c>
      <c r="AO35" s="59">
        <f>AO24-AO32</f>
        <v/>
      </c>
      <c r="AP35" s="59">
        <f>AP24-AP32</f>
        <v/>
      </c>
      <c r="AQ35" s="59">
        <f>AQ24-AQ32</f>
        <v/>
      </c>
      <c r="AR35" s="59">
        <f>AR24-AR32</f>
        <v/>
      </c>
      <c r="AS35" s="59">
        <f>AS24-AS32</f>
        <v/>
      </c>
      <c r="AT35" s="59">
        <f>AT24-AT32</f>
        <v/>
      </c>
      <c r="AU35" s="59">
        <f>AU24-AU32</f>
        <v/>
      </c>
      <c r="AV35" s="59">
        <f>AV24-AV32</f>
        <v/>
      </c>
      <c r="AW35" s="59">
        <f>AW24-AW32</f>
        <v/>
      </c>
      <c r="AX35" s="59">
        <f>AX24-AX32</f>
        <v/>
      </c>
      <c r="AY35" s="59">
        <f>AY24-AY32</f>
        <v/>
      </c>
      <c r="AZ35" s="59">
        <f>AZ24-AZ32</f>
        <v/>
      </c>
      <c r="BA35" s="59">
        <f>BA24-BA32</f>
        <v/>
      </c>
      <c r="BB35" s="59">
        <f>BB24-BB32</f>
        <v/>
      </c>
      <c r="BC35" s="59">
        <f>BC24-BC32</f>
        <v/>
      </c>
      <c r="BD35" s="59">
        <f>BD24-BD32</f>
        <v/>
      </c>
      <c r="BE35" s="59">
        <f>BE24-BE32</f>
        <v/>
      </c>
      <c r="BF35" s="59">
        <f>BF24-BF32</f>
        <v/>
      </c>
      <c r="BG35" s="59">
        <f>BG24-BG32</f>
        <v/>
      </c>
      <c r="BH35" s="59">
        <f>BH24-BH32</f>
        <v/>
      </c>
      <c r="BI35" s="59">
        <f>BI24-BI32</f>
        <v/>
      </c>
      <c r="BJ35" s="59">
        <f>BJ24-BJ32</f>
        <v/>
      </c>
      <c r="BK35" s="59">
        <f>BK24-BK32</f>
        <v/>
      </c>
    </row>
    <row r="36" ht="15" customHeight="1" s="35">
      <c r="A36" s="47" t="inlineStr">
        <is>
          <t>CAIXA ACUMULADO (R$)</t>
        </is>
      </c>
      <c r="B36" s="53" t="inlineStr">
        <is>
          <t>R$</t>
        </is>
      </c>
      <c r="C36" s="59">
        <f>Premissas!$D$33</f>
        <v/>
      </c>
      <c r="D36" s="59">
        <f>C36+D35</f>
        <v/>
      </c>
      <c r="E36" s="59">
        <f>D36+E35</f>
        <v/>
      </c>
      <c r="F36" s="59">
        <f>E36+F35</f>
        <v/>
      </c>
      <c r="G36" s="59">
        <f>F36+G35</f>
        <v/>
      </c>
      <c r="H36" s="59">
        <f>G36+H35</f>
        <v/>
      </c>
      <c r="I36" s="59">
        <f>H36+I35</f>
        <v/>
      </c>
      <c r="J36" s="59">
        <f>I36+J35</f>
        <v/>
      </c>
      <c r="K36" s="59">
        <f>J36+K35</f>
        <v/>
      </c>
      <c r="L36" s="59">
        <f>K36+L35</f>
        <v/>
      </c>
      <c r="M36" s="59">
        <f>L36+M35</f>
        <v/>
      </c>
      <c r="N36" s="59">
        <f>M36+N35</f>
        <v/>
      </c>
      <c r="O36" s="59">
        <f>N36+O35</f>
        <v/>
      </c>
      <c r="P36" s="59">
        <f>O36+P35</f>
        <v/>
      </c>
      <c r="Q36" s="59">
        <f>P36+Q35</f>
        <v/>
      </c>
      <c r="R36" s="59">
        <f>Q36+R35</f>
        <v/>
      </c>
      <c r="S36" s="59">
        <f>R36+S35</f>
        <v/>
      </c>
      <c r="T36" s="59">
        <f>S36+T35</f>
        <v/>
      </c>
      <c r="U36" s="59">
        <f>T36+U35</f>
        <v/>
      </c>
      <c r="V36" s="59">
        <f>U36+V35</f>
        <v/>
      </c>
      <c r="W36" s="59">
        <f>V36+W35</f>
        <v/>
      </c>
      <c r="X36" s="59">
        <f>W36+X35</f>
        <v/>
      </c>
      <c r="Y36" s="59">
        <f>X36+Y35</f>
        <v/>
      </c>
      <c r="Z36" s="59">
        <f>Y36+Z35</f>
        <v/>
      </c>
      <c r="AA36" s="59">
        <f>Z36+AA35</f>
        <v/>
      </c>
      <c r="AB36" s="59">
        <f>AA36+AB35</f>
        <v/>
      </c>
      <c r="AC36" s="59">
        <f>AB36+AC35</f>
        <v/>
      </c>
      <c r="AD36" s="59">
        <f>AC36+AD35</f>
        <v/>
      </c>
      <c r="AE36" s="59">
        <f>AD36+AE35</f>
        <v/>
      </c>
      <c r="AF36" s="59">
        <f>AE36+AF35</f>
        <v/>
      </c>
      <c r="AG36" s="59">
        <f>AF36+AG35</f>
        <v/>
      </c>
      <c r="AH36" s="59">
        <f>AG36+AH35</f>
        <v/>
      </c>
      <c r="AI36" s="59">
        <f>AH36+AI35</f>
        <v/>
      </c>
      <c r="AJ36" s="59">
        <f>AI36+AJ35</f>
        <v/>
      </c>
      <c r="AK36" s="59">
        <f>AJ36+AK35</f>
        <v/>
      </c>
      <c r="AL36" s="59">
        <f>AK36+AL35</f>
        <v/>
      </c>
      <c r="AM36" s="59">
        <f>AL36+AM35</f>
        <v/>
      </c>
      <c r="AN36" s="59">
        <f>AM36+AN35</f>
        <v/>
      </c>
      <c r="AO36" s="59">
        <f>AN36+AO35</f>
        <v/>
      </c>
      <c r="AP36" s="59">
        <f>AO36+AP35</f>
        <v/>
      </c>
      <c r="AQ36" s="59">
        <f>AP36+AQ35</f>
        <v/>
      </c>
      <c r="AR36" s="59">
        <f>AQ36+AR35</f>
        <v/>
      </c>
      <c r="AS36" s="59">
        <f>AR36+AS35</f>
        <v/>
      </c>
      <c r="AT36" s="59">
        <f>AS36+AT35</f>
        <v/>
      </c>
      <c r="AU36" s="59">
        <f>AT36+AU35</f>
        <v/>
      </c>
      <c r="AV36" s="59">
        <f>AU36+AV35</f>
        <v/>
      </c>
      <c r="AW36" s="59">
        <f>AV36+AW35</f>
        <v/>
      </c>
      <c r="AX36" s="59">
        <f>AW36+AX35</f>
        <v/>
      </c>
      <c r="AY36" s="59">
        <f>AX36+AY35</f>
        <v/>
      </c>
      <c r="AZ36" s="59">
        <f>AY36+AZ35</f>
        <v/>
      </c>
      <c r="BA36" s="59">
        <f>AZ36+BA35</f>
        <v/>
      </c>
      <c r="BB36" s="59">
        <f>BA36+BB35</f>
        <v/>
      </c>
      <c r="BC36" s="59">
        <f>BB36+BC35</f>
        <v/>
      </c>
      <c r="BD36" s="59">
        <f>BC36+BD35</f>
        <v/>
      </c>
      <c r="BE36" s="59">
        <f>BD36+BE35</f>
        <v/>
      </c>
      <c r="BF36" s="59">
        <f>BE36+BF35</f>
        <v/>
      </c>
      <c r="BG36" s="59">
        <f>BF36+BG35</f>
        <v/>
      </c>
      <c r="BH36" s="59">
        <f>BG36+BH35</f>
        <v/>
      </c>
      <c r="BI36" s="59">
        <f>BH36+BI35</f>
        <v/>
      </c>
      <c r="BJ36" s="59">
        <f>BI36+BJ35</f>
        <v/>
      </c>
      <c r="BK36" s="59">
        <f>BJ36+BK35</f>
        <v/>
      </c>
    </row>
  </sheetData>
  <mergeCells count="5">
    <mergeCell ref="P3:AA3"/>
    <mergeCell ref="D3:O3"/>
    <mergeCell ref="AB3:AM3"/>
    <mergeCell ref="AZ3:BK3"/>
    <mergeCell ref="AN3:AY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R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4" min="1" max="1"/>
    <col width="13" customWidth="1" style="34" min="2" max="16"/>
    <col width="4" customWidth="1" style="34" min="17" max="17"/>
    <col width="15" customWidth="1" style="34" min="18" max="21"/>
  </cols>
  <sheetData>
    <row r="1" ht="17.35" customHeight="1" s="35">
      <c r="A1" s="36" t="inlineStr">
        <is>
          <t>Resumo Anual — Ano 1 a Ano 5, os 3 cenários lado a lado</t>
        </is>
      </c>
    </row>
    <row r="3" ht="64.90000000000001" customHeight="1" s="35">
      <c r="A3" s="40" t="inlineStr">
        <is>
          <t>Métrica</t>
        </is>
      </c>
      <c r="B3" s="54" t="inlineStr">
        <is>
          <t>Pessimista
Ano 1</t>
        </is>
      </c>
      <c r="C3" s="54" t="inlineStr">
        <is>
          <t>Pessimista
Ano 2</t>
        </is>
      </c>
      <c r="D3" s="54" t="inlineStr">
        <is>
          <t>Pessimista
Ano 3</t>
        </is>
      </c>
      <c r="E3" s="54" t="inlineStr">
        <is>
          <t>Pessimista
Ano 4</t>
        </is>
      </c>
      <c r="F3" s="54" t="inlineStr">
        <is>
          <t>Pessimista
Ano 5</t>
        </is>
      </c>
      <c r="H3" s="61" t="inlineStr">
        <is>
          <t>Realista
Ano 1</t>
        </is>
      </c>
      <c r="I3" s="61" t="inlineStr">
        <is>
          <t>Realista
Ano 2</t>
        </is>
      </c>
      <c r="J3" s="61" t="inlineStr">
        <is>
          <t>Realista
Ano 3</t>
        </is>
      </c>
      <c r="K3" s="61" t="inlineStr">
        <is>
          <t>Realista
Ano 4</t>
        </is>
      </c>
      <c r="L3" s="61" t="inlineStr">
        <is>
          <t>Realista
Ano 5</t>
        </is>
      </c>
      <c r="N3" s="62" t="inlineStr">
        <is>
          <t>Otimista
Ano 1</t>
        </is>
      </c>
      <c r="O3" s="62" t="inlineStr">
        <is>
          <t>Otimista
Ano 2</t>
        </is>
      </c>
      <c r="P3" s="62" t="inlineStr">
        <is>
          <t>Otimista
Ano 3</t>
        </is>
      </c>
      <c r="Q3" s="62" t="inlineStr">
        <is>
          <t>Otimista
Ano 4</t>
        </is>
      </c>
      <c r="R3" s="62" t="inlineStr">
        <is>
          <t>Otimista
Ano 5</t>
        </is>
      </c>
    </row>
    <row r="4" ht="15" customHeight="1" s="35">
      <c r="A4" s="43" t="inlineStr">
        <is>
          <t>Novos cadastros Starter no ano (qtd)</t>
        </is>
      </c>
      <c r="B4" s="63">
        <f>SUM(Pessimista!D6:O6)</f>
        <v/>
      </c>
      <c r="C4" s="63">
        <f>SUM(Pessimista!P6:AA6)</f>
        <v/>
      </c>
      <c r="D4" s="63">
        <f>SUM(Pessimista!AB6:AM6)</f>
        <v/>
      </c>
      <c r="E4" s="63">
        <f>SUM(Pessimista!AN6:AY6)</f>
        <v/>
      </c>
      <c r="F4" s="63">
        <f>SUM(Pessimista!AZ6:BK6)</f>
        <v/>
      </c>
      <c r="H4" s="63">
        <f>SUM(Realista!D6:O6)</f>
        <v/>
      </c>
      <c r="I4" s="63">
        <f>SUM(Realista!P6:AA6)</f>
        <v/>
      </c>
      <c r="J4" s="63">
        <f>SUM(Realista!AB6:AM6)</f>
        <v/>
      </c>
      <c r="K4" s="63">
        <f>SUM(Realista!AN6:AY6)</f>
        <v/>
      </c>
      <c r="L4" s="63">
        <f>SUM(Realista!AZ6:BK6)</f>
        <v/>
      </c>
      <c r="N4" s="63">
        <f>SUM(Otimista!D6:O6)</f>
        <v/>
      </c>
      <c r="O4" s="63">
        <f>SUM(Otimista!P6:AA6)</f>
        <v/>
      </c>
      <c r="P4" s="63">
        <f>SUM(Otimista!AB6:AM6)</f>
        <v/>
      </c>
      <c r="Q4" s="63">
        <f>SUM(Otimista!AN6:AY6)</f>
        <v/>
      </c>
      <c r="R4" s="63">
        <f>SUM(Otimista!AZ6:BK6)</f>
        <v/>
      </c>
    </row>
    <row r="5" ht="15" customHeight="1" s="35">
      <c r="A5" s="43" t="inlineStr">
        <is>
          <t>Pagantes ativos no fim do ano — Pro+Institutional (qtd)</t>
        </is>
      </c>
      <c r="B5" s="63">
        <f>Pessimista!O13</f>
        <v/>
      </c>
      <c r="C5" s="63">
        <f>Pessimista!AA13</f>
        <v/>
      </c>
      <c r="D5" s="63">
        <f>Pessimista!AM13</f>
        <v/>
      </c>
      <c r="E5" s="63">
        <f>Pessimista!AY13</f>
        <v/>
      </c>
      <c r="F5" s="63">
        <f>Pessimista!BK13</f>
        <v/>
      </c>
      <c r="H5" s="63">
        <f>Realista!O13</f>
        <v/>
      </c>
      <c r="I5" s="63">
        <f>Realista!AA13</f>
        <v/>
      </c>
      <c r="J5" s="63">
        <f>Realista!AM13</f>
        <v/>
      </c>
      <c r="K5" s="63">
        <f>Realista!AY13</f>
        <v/>
      </c>
      <c r="L5" s="63">
        <f>Realista!BK13</f>
        <v/>
      </c>
      <c r="N5" s="63">
        <f>Otimista!O13</f>
        <v/>
      </c>
      <c r="O5" s="63">
        <f>Otimista!AA13</f>
        <v/>
      </c>
      <c r="P5" s="63">
        <f>Otimista!AM13</f>
        <v/>
      </c>
      <c r="Q5" s="63">
        <f>Otimista!AY13</f>
        <v/>
      </c>
      <c r="R5" s="63">
        <f>Otimista!BK13</f>
        <v/>
      </c>
    </row>
    <row r="6" ht="15" customHeight="1" s="35">
      <c r="A6" s="43" t="inlineStr">
        <is>
          <t>Usuários ativos no fim do ano — total (qtd)</t>
        </is>
      </c>
      <c r="B6" s="63">
        <f>Pessimista!O14</f>
        <v/>
      </c>
      <c r="C6" s="63">
        <f>Pessimista!AA14</f>
        <v/>
      </c>
      <c r="D6" s="63">
        <f>Pessimista!AM14</f>
        <v/>
      </c>
      <c r="E6" s="63">
        <f>Pessimista!AY14</f>
        <v/>
      </c>
      <c r="F6" s="63">
        <f>Pessimista!BK14</f>
        <v/>
      </c>
      <c r="H6" s="63">
        <f>Realista!O14</f>
        <v/>
      </c>
      <c r="I6" s="63">
        <f>Realista!AA14</f>
        <v/>
      </c>
      <c r="J6" s="63">
        <f>Realista!AM14</f>
        <v/>
      </c>
      <c r="K6" s="63">
        <f>Realista!AY14</f>
        <v/>
      </c>
      <c r="L6" s="63">
        <f>Realista!BK14</f>
        <v/>
      </c>
      <c r="N6" s="63">
        <f>Otimista!O14</f>
        <v/>
      </c>
      <c r="O6" s="63">
        <f>Otimista!AA14</f>
        <v/>
      </c>
      <c r="P6" s="63">
        <f>Otimista!AM14</f>
        <v/>
      </c>
      <c r="Q6" s="63">
        <f>Otimista!AY14</f>
        <v/>
      </c>
      <c r="R6" s="63">
        <f>Otimista!BK14</f>
        <v/>
      </c>
    </row>
    <row r="7" ht="15" customHeight="1" s="35">
      <c r="A7" s="47" t="inlineStr">
        <is>
          <t>RECEITA TOTAL no ano (R$)</t>
        </is>
      </c>
      <c r="B7" s="63">
        <f>SUM(Pessimista!D24:O24)</f>
        <v/>
      </c>
      <c r="C7" s="63">
        <f>SUM(Pessimista!P24:AA24)</f>
        <v/>
      </c>
      <c r="D7" s="63">
        <f>SUM(Pessimista!AB24:AM24)</f>
        <v/>
      </c>
      <c r="E7" s="63">
        <f>SUM(Pessimista!AN24:AY24)</f>
        <v/>
      </c>
      <c r="F7" s="63">
        <f>SUM(Pessimista!AZ24:BK24)</f>
        <v/>
      </c>
      <c r="H7" s="63">
        <f>SUM(Realista!D24:O24)</f>
        <v/>
      </c>
      <c r="I7" s="63">
        <f>SUM(Realista!P24:AA24)</f>
        <v/>
      </c>
      <c r="J7" s="63">
        <f>SUM(Realista!AB24:AM24)</f>
        <v/>
      </c>
      <c r="K7" s="63">
        <f>SUM(Realista!AN24:AY24)</f>
        <v/>
      </c>
      <c r="L7" s="63">
        <f>SUM(Realista!AZ24:BK24)</f>
        <v/>
      </c>
      <c r="N7" s="63">
        <f>SUM(Otimista!D24:O24)</f>
        <v/>
      </c>
      <c r="O7" s="63">
        <f>SUM(Otimista!P24:AA24)</f>
        <v/>
      </c>
      <c r="P7" s="63">
        <f>SUM(Otimista!AB24:AM24)</f>
        <v/>
      </c>
      <c r="Q7" s="63">
        <f>SUM(Otimista!AN24:AY24)</f>
        <v/>
      </c>
      <c r="R7" s="63">
        <f>SUM(Otimista!AZ24:BK24)</f>
        <v/>
      </c>
    </row>
    <row r="8" ht="15" customHeight="1" s="35">
      <c r="A8" s="47" t="inlineStr">
        <is>
          <t>DESPESAS TOTAIS no ano (R$)</t>
        </is>
      </c>
      <c r="B8" s="63">
        <f>SUM(Pessimista!D32:O32)</f>
        <v/>
      </c>
      <c r="C8" s="63">
        <f>SUM(Pessimista!P32:AA32)</f>
        <v/>
      </c>
      <c r="D8" s="63">
        <f>SUM(Pessimista!AB32:AM32)</f>
        <v/>
      </c>
      <c r="E8" s="63">
        <f>SUM(Pessimista!AN32:AY32)</f>
        <v/>
      </c>
      <c r="F8" s="63">
        <f>SUM(Pessimista!AZ32:BK32)</f>
        <v/>
      </c>
      <c r="H8" s="63">
        <f>SUM(Realista!D32:O32)</f>
        <v/>
      </c>
      <c r="I8" s="63">
        <f>SUM(Realista!P32:AA32)</f>
        <v/>
      </c>
      <c r="J8" s="63">
        <f>SUM(Realista!AB32:AM32)</f>
        <v/>
      </c>
      <c r="K8" s="63">
        <f>SUM(Realista!AN32:AY32)</f>
        <v/>
      </c>
      <c r="L8" s="63">
        <f>SUM(Realista!AZ32:BK32)</f>
        <v/>
      </c>
      <c r="N8" s="63">
        <f>SUM(Otimista!D32:O32)</f>
        <v/>
      </c>
      <c r="O8" s="63">
        <f>SUM(Otimista!P32:AA32)</f>
        <v/>
      </c>
      <c r="P8" s="63">
        <f>SUM(Otimista!AB32:AM32)</f>
        <v/>
      </c>
      <c r="Q8" s="63">
        <f>SUM(Otimista!AN32:AY32)</f>
        <v/>
      </c>
      <c r="R8" s="63">
        <f>SUM(Otimista!AZ32:BK32)</f>
        <v/>
      </c>
    </row>
    <row r="9" ht="15" customHeight="1" s="35">
      <c r="A9" s="47" t="inlineStr">
        <is>
          <t>LUCRO LÍQUIDO do ano (R$)</t>
        </is>
      </c>
      <c r="B9" s="63">
        <f>SUM(Pessimista!D35:O35)</f>
        <v/>
      </c>
      <c r="C9" s="63">
        <f>SUM(Pessimista!P35:AA35)</f>
        <v/>
      </c>
      <c r="D9" s="63">
        <f>SUM(Pessimista!AB35:AM35)</f>
        <v/>
      </c>
      <c r="E9" s="63">
        <f>SUM(Pessimista!AN35:AY35)</f>
        <v/>
      </c>
      <c r="F9" s="63">
        <f>SUM(Pessimista!AZ35:BK35)</f>
        <v/>
      </c>
      <c r="H9" s="63">
        <f>SUM(Realista!D35:O35)</f>
        <v/>
      </c>
      <c r="I9" s="63">
        <f>SUM(Realista!P35:AA35)</f>
        <v/>
      </c>
      <c r="J9" s="63">
        <f>SUM(Realista!AB35:AM35)</f>
        <v/>
      </c>
      <c r="K9" s="63">
        <f>SUM(Realista!AN35:AY35)</f>
        <v/>
      </c>
      <c r="L9" s="63">
        <f>SUM(Realista!AZ35:BK35)</f>
        <v/>
      </c>
      <c r="N9" s="63">
        <f>SUM(Otimista!D35:O35)</f>
        <v/>
      </c>
      <c r="O9" s="63">
        <f>SUM(Otimista!P35:AA35)</f>
        <v/>
      </c>
      <c r="P9" s="63">
        <f>SUM(Otimista!AB35:AM35)</f>
        <v/>
      </c>
      <c r="Q9" s="63">
        <f>SUM(Otimista!AN35:AY35)</f>
        <v/>
      </c>
      <c r="R9" s="63">
        <f>SUM(Otimista!AZ35:BK35)</f>
        <v/>
      </c>
    </row>
    <row r="10" ht="15" customHeight="1" s="35">
      <c r="A10" s="47" t="inlineStr">
        <is>
          <t>CAIXA ACUMULADO no fim do ano (R$)</t>
        </is>
      </c>
      <c r="B10" s="63">
        <f>Pessimista!O36</f>
        <v/>
      </c>
      <c r="C10" s="63">
        <f>Pessimista!AA36</f>
        <v/>
      </c>
      <c r="D10" s="63">
        <f>Pessimista!AM36</f>
        <v/>
      </c>
      <c r="E10" s="63">
        <f>Pessimista!AY36</f>
        <v/>
      </c>
      <c r="F10" s="63">
        <f>Pessimista!BK36</f>
        <v/>
      </c>
      <c r="H10" s="63">
        <f>Realista!O36</f>
        <v/>
      </c>
      <c r="I10" s="63">
        <f>Realista!AA36</f>
        <v/>
      </c>
      <c r="J10" s="63">
        <f>Realista!AM36</f>
        <v/>
      </c>
      <c r="K10" s="63">
        <f>Realista!AY36</f>
        <v/>
      </c>
      <c r="L10" s="63">
        <f>Realista!BK36</f>
        <v/>
      </c>
      <c r="N10" s="63">
        <f>Otimista!O36</f>
        <v/>
      </c>
      <c r="O10" s="63">
        <f>Otimista!AA36</f>
        <v/>
      </c>
      <c r="P10" s="63">
        <f>Otimista!AM36</f>
        <v/>
      </c>
      <c r="Q10" s="63">
        <f>Otimista!AY36</f>
        <v/>
      </c>
      <c r="R10" s="63">
        <f>Otimista!BK36</f>
        <v/>
      </c>
    </row>
    <row r="13" ht="15" customHeight="1" s="35">
      <c r="A13" s="64" t="inlineStr">
        <is>
          <t>Comparativo — Total 5 anos (soma Ano1..Ano5 de faturamento/lucro; caixa e pagantes = fim do Ano 5)</t>
        </is>
      </c>
    </row>
    <row r="14" ht="15" customHeight="1" s="35">
      <c r="A14" s="40" t="inlineStr">
        <is>
          <t>Métrica</t>
        </is>
      </c>
      <c r="B14" s="65" t="inlineStr">
        <is>
          <t>Pessimista</t>
        </is>
      </c>
      <c r="C14" s="66" t="inlineStr">
        <is>
          <t>Realista</t>
        </is>
      </c>
      <c r="D14" s="67" t="inlineStr">
        <is>
          <t>Otimista</t>
        </is>
      </c>
    </row>
    <row r="15" ht="15" customHeight="1" s="35">
      <c r="A15" s="47" t="inlineStr">
        <is>
          <t>Faturamento total 5 anos (R$)</t>
        </is>
      </c>
      <c r="B15" s="63">
        <f>SUM(Pessimista!D24:BK24)</f>
        <v/>
      </c>
      <c r="C15" s="63">
        <f>SUM(Realista!D24:BK24)</f>
        <v/>
      </c>
      <c r="D15" s="63">
        <f>SUM(Otimista!D24:BK24)</f>
        <v/>
      </c>
    </row>
    <row r="16" ht="15" customHeight="1" s="35">
      <c r="A16" s="47" t="inlineStr">
        <is>
          <t>Despesas totais 5 anos (R$)</t>
        </is>
      </c>
      <c r="B16" s="63">
        <f>SUM(Pessimista!D32:BK32)</f>
        <v/>
      </c>
      <c r="C16" s="63">
        <f>SUM(Realista!D32:BK32)</f>
        <v/>
      </c>
      <c r="D16" s="63">
        <f>SUM(Otimista!D32:BK32)</f>
        <v/>
      </c>
    </row>
    <row r="17" ht="15" customHeight="1" s="35">
      <c r="A17" s="47" t="inlineStr">
        <is>
          <t>Lucro líquido total 5 anos (R$)</t>
        </is>
      </c>
      <c r="B17" s="63">
        <f>SUM(Pessimista!D35:BK35)</f>
        <v/>
      </c>
      <c r="C17" s="63">
        <f>SUM(Realista!D35:BK35)</f>
        <v/>
      </c>
      <c r="D17" s="63">
        <f>SUM(Otimista!D35:BK35)</f>
        <v/>
      </c>
    </row>
    <row r="18" ht="15" customHeight="1" s="35">
      <c r="A18" s="47" t="inlineStr">
        <is>
          <t>Caixa acumulado — fim do Ano 5 (R$)</t>
        </is>
      </c>
      <c r="B18" s="63">
        <f>Pessimista!BK36</f>
        <v/>
      </c>
      <c r="C18" s="63">
        <f>Realista!BK36</f>
        <v/>
      </c>
      <c r="D18" s="63">
        <f>Otimista!BK36</f>
        <v/>
      </c>
    </row>
    <row r="19" ht="15" customHeight="1" s="35">
      <c r="A19" s="47" t="inlineStr">
        <is>
          <t>Pagantes ativos — fim do Ano 5 (qtd)</t>
        </is>
      </c>
      <c r="B19" s="63">
        <f>Pessimista!BK13</f>
        <v/>
      </c>
      <c r="C19" s="63">
        <f>Realista!BK13</f>
        <v/>
      </c>
      <c r="D19" s="63">
        <f>Otimista!BK13</f>
        <v/>
      </c>
    </row>
    <row r="20" ht="15" customHeight="1" s="35">
      <c r="A20" s="47" t="inlineStr">
        <is>
          <t>Usuários ativos totais — fim do Ano 5 (qtd)</t>
        </is>
      </c>
      <c r="B20" s="63">
        <f>Pessimista!BK14</f>
        <v/>
      </c>
      <c r="C20" s="63">
        <f>Realista!BK14</f>
        <v/>
      </c>
      <c r="D20" s="63">
        <f>Otimista!BK14</f>
        <v/>
      </c>
    </row>
    <row r="21" ht="15" customHeight="1" s="35">
      <c r="A21" s="47" t="inlineStr">
        <is>
          <t>1º mês com lucro líquido positivo</t>
        </is>
      </c>
      <c r="B21" s="68">
        <f>IFERROR(INDEX(Pessimista!D4:BK4,MATCH(TRUE(),INDEX(Pessimista!D35:BK35&gt;0,0),0)),"Nunca no período")</f>
        <v/>
      </c>
      <c r="C21" s="68">
        <f>IFERROR(INDEX(Realista!D4:BK4,MATCH(TRUE(),INDEX(Realista!D35:BK35&gt;0,0),0)),"Nunca no período")</f>
        <v/>
      </c>
      <c r="D21" s="68">
        <f>IFERROR(INDEX(Otimista!D4:BK4,MATCH(TRUE(),INDEX(Otimista!D35:BK35&gt;0,0),0)),"Nunca no período")</f>
        <v/>
      </c>
    </row>
  </sheetData>
  <mergeCells count="1">
    <mergeCell ref="A1:P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34" min="1" max="1"/>
  </cols>
  <sheetData>
    <row r="1" ht="17.35" customHeight="1" s="35">
      <c r="A1" s="36" t="inlineStr">
        <is>
          <t>Modelo de Comissionamento — Proposta Realinhada com Prática de Mercado</t>
        </is>
      </c>
    </row>
    <row r="3" ht="15" customHeight="1" s="35">
      <c r="A3" s="47" t="inlineStr">
        <is>
          <t>Decisão implementada neste modelo</t>
        </is>
      </c>
    </row>
    <row r="4" ht="60" customHeight="1" s="35">
      <c r="A4" s="39" t="inlineStr">
        <is>
          <t>DECISÃO (2026-08-10): comissão própria da plataforma cobrada sobre TODO o volume operado — Node: Starter, Node: Pro e Node: Institutional, sem diferenciação por tier. Modelado na aba Premissas, linha 'Comissão própria por lote', mesmo valor nos 3 cenários (R$30/lote ≈ US$6/lote) por ser política de preço, não projeção de crescimento.</t>
        </is>
      </c>
    </row>
    <row r="6" ht="15" customHeight="1" s="35">
      <c r="A6" s="47" t="inlineStr">
        <is>
          <t>Base de mercado do valor (US$6/lote)</t>
        </is>
      </c>
    </row>
    <row r="7" ht="75" customHeight="1" s="35">
      <c r="A7" s="39" t="inlineStr">
        <is>
          <t>US$6/lote padrão (US$0,06 por 0,01 lote) — pesquisa original do plano de 11/07/2026 (PLANEJAMENTO-LANCAMENTO-NEURAL-DAY-TRADER.md §3), ancorada em comissões ECN cTrader (US$4-8/lote, fontes: ForexBrokers.com, FP Markets) e ~15-20% abaixo do que a Infinox cobra na própria conta ECN (US$7-7,50/lote). Isso é o valor que MERCADO pratica pra uma plataforma que intermedia execução — não é um número inventado.</t>
        </is>
      </c>
    </row>
    <row r="9" ht="15" customHeight="1" s="35">
      <c r="A9" s="47" t="inlineStr">
        <is>
          <t>Rebate IB — a segunda fonte, invisível ao trader</t>
        </is>
      </c>
    </row>
    <row r="10" ht="75" customHeight="1" s="35">
      <c r="A10" s="39" t="inlineStr">
        <is>
          <t>Rebate IB (Introducing Broker) é uma fonte SEPARADA de receita, paga pela CORRETORA — não pelo trader — sobre o mesmo volume. A Infinox Partners paga até US$20/lote de rebate IB, negociável por instrumento/volume. O modelo usa R$15/25/35 por lote (pess/real/otim), convertido de ~US$4/6/8, que é o intervalo TÍPICO de mercado pra parceiros novos sem volume negociado ainda — não o teto de US$20 (isso exigiria volume/negociação que a plataforma não tem no lançamento).</t>
        </is>
      </c>
    </row>
    <row r="12" ht="15" customHeight="1" s="35">
      <c r="A12" s="69" t="inlineStr">
        <is>
          <t>⚠️ ALERTA que já existia no projeto — mantido de propósito, não removido</t>
        </is>
      </c>
    </row>
    <row r="13" ht="90" customHeight="1" s="35">
      <c r="A13" s="39" t="inlineStr">
        <is>
          <t>Comissão própria (US$6/lote) + custo de execução na corretora (spread/comissão ECN, US$7-7,50/lote na Infinox) = custo empilhado de ~US$13/lote pro trader, quase 2x uma conta ECN pura sem intermediário. O plano de 11/07 já registrava esse alerta e recomendava ZERAR a comissão própria, vivendo só de mensalidade + rebate (que não tem essa fricção — quem paga é a corretora). A decisão desta sessão (cobrar em todos os tiers) reabre esse risco de propósito — registrado aqui pra ficar visível, não escondido.</t>
        </is>
      </c>
    </row>
    <row r="15" ht="15" customHeight="1" s="35">
      <c r="A15" s="47" t="inlineStr">
        <is>
          <t>Recomendações de acompanhamento (não implementadas — decisão do Cleber)</t>
        </is>
      </c>
    </row>
    <row r="16" ht="135" customHeight="1" s="35">
      <c r="A16" s="39" t="inlineStr">
        <is>
          <t>1) Monitorar churn de usuários de alto volume (heavy traders) especificamente — são os mais sensíveis a esse custo empilhado e os que mais geram receita por lote; perder esse segmento por causa da comissão própria custaria caro. 2) Testar a alternativa 'zerar comissão própria' trocando a célula da aba Premissas pra R$0 e comparando o Lucro Líquido Total 5 anos na aba Resumo Anual — a comissão própria é só ~13% da receita projetada no plano original (mensalidade 64-78%, rebate 8-19%), então o modelo é sensível o suficiente pra esse teste valer a pena antes do lançamento público. 3) Se mantida em todos os tiers, considerar comunicar isso claramente na landing/termos — cobrar comissão sem transparência é o tipo de prática que gera reclamação e atrito com CVM (ver PLANEJAMENTO-LANCAMENTO §6, riscos jurídicos já mapeados).</t>
        </is>
      </c>
    </row>
    <row r="18" ht="15" customHeight="1" s="35">
      <c r="A18" s="47" t="inlineStr">
        <is>
          <t>Fontes</t>
        </is>
      </c>
    </row>
    <row r="19" ht="45" customHeight="1" s="35">
      <c r="A19" s="39" t="inlineStr">
        <is>
          <t>Fontes já citadas no plano de 11/07, reaproveitadas aqui sem nova pesquisa: FBS Academy (rebates IB), CashbackForex e PaybackFX (rebates de mercado), ForexBrokers.com e FP Markets (comissões cTrader ECN), INFINOX Partners (programa IB oficial da corretora de referência do projeto).</t>
        </is>
      </c>
    </row>
    <row r="22" ht="17.35" customHeight="1" s="35">
      <c r="A22" s="36" t="inlineStr">
        <is>
          <t>── Plano de lucro no Ano 1 (adicionado 2026-08-10, pedido do Cleber) ──</t>
        </is>
      </c>
    </row>
    <row r="23" ht="15" customHeight="1" s="35">
      <c r="A23" s="47" t="inlineStr">
        <is>
          <t>Contexto</t>
        </is>
      </c>
    </row>
    <row r="24" ht="75" customHeight="1" s="35">
      <c r="A24" s="39" t="inlineStr">
        <is>
          <t>O modelo original (mensalidade real + CAC/comissão/rebate do plano de 11/07 sem ajuste) fechava os 3 cenários no vermelho no Ano 1 — Pessimista e Realista continuavam negativos até o Ano 2-3. O Cleber pediu explicitamente uma operação que já dê lucro no Ano 1. Testado na planilha (não estimado a mão): o pacote de 6 mudanças abaixo, aplicado nas 3 primeiras premissas marcadas 'AJUSTADO 2026-08-10' na aba Premissas, LEVA Realista e Otimista a lucro positivo já no Ano 1.</t>
        </is>
      </c>
    </row>
    <row r="26" ht="15" customHeight="1" s="35">
      <c r="A26" s="47" t="inlineStr">
        <is>
          <t>As 6 alavancas</t>
        </is>
      </c>
    </row>
    <row r="27" ht="105" customHeight="1" s="35">
      <c r="A27" s="39" t="inlineStr">
        <is>
          <t>1) CAC caiu pela metade (R$180/220/260 → R$90/110/130) — era o maior custo isolado do Ano 1 (46% das despesas no Realista original). 2) Comissão própria subiu de R$30 pra R$40/lote (ainda dentro do benchmark cTrader ECN). 3) Rebate IB subiu +R$10/lote em cada cenário (ainda abaixo do teto de US$20/lote que a Infinox Partners paga). 4) Custos fixos administrativos caíram ~33% (lançamento mais enxuto). 5) Degrau de contratação esticado (atrasa a 1ª contratação além do fundador). 6) Conversão Starter→Pago do Realista subiu de 6% pra 8% (assume gatilho de conversão orientado por produto, não só tempo passivo).</t>
        </is>
      </c>
    </row>
    <row r="29" ht="15" customHeight="1" s="35">
      <c r="A29" s="47" t="inlineStr">
        <is>
          <t>Resultado medido na planilha (aba Resumo Anual)</t>
        </is>
      </c>
    </row>
    <row r="30" ht="45" customHeight="1" s="35">
      <c r="A30" s="39" t="inlineStr">
        <is>
          <t>Realista: lucro Ano 1 = R$19.379 (era −R$263.432). Otimista: lucro Ano 1 = R$1.070.865 (era R$292.259 — já era positivo, ficou bem melhor). Pessimista: prejuízo Ano 1 caiu de −R$235.943 pra −R$161.737 — MELHOROU mas continua negativo, e isso é esperado, não é falha do ajuste.</t>
        </is>
      </c>
    </row>
    <row r="32" ht="15" customHeight="1" s="35">
      <c r="A32" s="69" t="inlineStr">
        <is>
          <t>⚠️ Por que o Pessimista continua no vermelho de propósito</t>
        </is>
      </c>
    </row>
    <row r="33" ht="75" customHeight="1" s="35">
      <c r="A33" s="39" t="inlineStr">
        <is>
          <t>Se o Pessimista também virasse lucrativo com esses mesmos ajustes, ele deixaria de representar 'as coisas dando errado' — viraria só um Realista com nome diferente, e o modelo perderia a função de avisar cedo quando a operação real está indo mal. Pessimista no vermelho, mesmo depois do pacote de melhorias, é o resultado CORRETO — ele modela simultaneamente churn alto, conversão baixa (3%, metade do Realista) e CAC ainda relativamente alto. Isso é sinal de alerta, não de erro de planilha.</t>
        </is>
      </c>
    </row>
    <row r="35" ht="15" customHeight="1" s="35">
      <c r="A35" s="47" t="inlineStr">
        <is>
          <t>Isto é plano de execução, não ajuste de planilha</t>
        </is>
      </c>
    </row>
    <row r="36" ht="90" customHeight="1" s="35">
      <c r="A36" s="39" t="inlineStr">
        <is>
          <t>Cada uma das 6 alavancas é uma AÇÃO REAL, não um número que se muda sozinho: CAC mais baixo exige de fato migrar aquisição pra comunidade/indicação (aba 'Sugestões de Crescimento', item 5) antes do volume de tráfego pago virar o canal principal; rebate mais alto exige negociar com a corretora antes do lançamento; conversão mais alta exige construir o gatilho de produto (item 2 da mesma aba) antes de contar com 8%. Se qualquer uma dessas ações não acontecer na prática, volte a célula correspondente pro valor original — a planilha reflete plano, não promessa.</t>
        </is>
      </c>
    </row>
    <row r="38" ht="15" customHeight="1" s="35">
      <c r="A38" s="47" t="inlineStr">
        <is>
          <t>Próximo passo recomendado</t>
        </is>
      </c>
    </row>
    <row r="39" ht="90" customHeight="1" s="35">
      <c r="A39" s="39" t="inlineStr">
        <is>
          <t>1) Usar o Ano 1 como gate de decisão: se os primeiros meses reais de conversão/churn/CAC vierem piores que o Realista ajustado (ex: conversão real &lt; 6-7%, CAC real &gt; R$150), isso é sinal precoce de que a operação está trilhando o caminho do Pessimista — cortar gasto de aquisição cedo em vez de escalar. 2) Rastrear as 3 métricas do gatilho (conversão Starter→Pago, CAC efetivo, churn mensal pago) desde o dia 1 do lançamento, comparando contra as 3 colunas da aba Premissas mês a mês — não esperar o Ano 1 fechar pra descobrir em qual cenário a operação real está.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34" min="1" max="1"/>
  </cols>
  <sheetData>
    <row r="1" ht="17.35" customHeight="1" s="35">
      <c r="A1" s="36" t="inlineStr">
        <is>
          <t>Sugestões para Crescimento Exponencial e Lucratividade</t>
        </is>
      </c>
    </row>
    <row r="2" ht="32.8" customHeight="1" s="35">
      <c r="A2" s="37" t="inlineStr">
        <is>
          <t>Alavancas concretas — cada uma testável mudando uma célula azul na aba Premissas e olhando o impacto na aba Resumo Anual. Nenhuma delas foi incorporada como premissa numérica automática (a não ser que citado abaixo) — são recomendações pra decisão do Cleber.</t>
        </is>
      </c>
    </row>
    <row r="4" ht="15" customHeight="1" s="35">
      <c r="A4" s="47" t="inlineStr">
        <is>
          <t>1) A alavanca #1 é a conversão Starter→Pago, não o preço</t>
        </is>
      </c>
    </row>
    <row r="5" ht="75" customHeight="1" s="35">
      <c r="A5" s="39" t="inlineStr">
        <is>
          <t>O maior alavanca do modelo não é preço nem comissão — é a TAXA DE CONVERSÃO Starter→Pago (linha amarela da aba Premissas). Ela é a única premissa que multiplica TODAS as fontes de receita ao mesmo tempo (mensalidade, comissão, rebate, marketplace todas dependem de quantos pagantes existem). Teste: suba a conversão realista de 6% pra 9% na aba Premissas e compare o Lucro Líquido Total 5 anos — o efeito composto ao longo de 60 meses é maior que qualquer ajuste isolado de preço.</t>
        </is>
      </c>
    </row>
    <row r="7" ht="15" customHeight="1" s="35">
      <c r="A7" s="47" t="inlineStr">
        <is>
          <t>2) Conversão orientada por gatilho de produto, não por tempo</t>
        </is>
      </c>
    </row>
    <row r="8" ht="105" customHeight="1" s="35">
      <c r="A8" s="39" t="inlineStr">
        <is>
          <t>O modelo assume conversão em 2 meses e uma taxa única — na prática, ativação recorrente costuma vir de gatilhos: (a) o Starter recebe um sinal validado que teria sido lucrativo e não pôde agir automático (prompt nativo 'ative o Pro pra isso não acontecer de novo' no momento exato da dor); (b) sequência de erro de execução manual (o trader perdeu o timing) — mesmo gatilho; (c) e-mail/push depois de N dias de uso ativo do Starter (engajamento = sinal de prontidão pra pagar). Isso não muda a fórmula do modelo, muda a taxa de conversão real que ele deveria assumir — vale instrumentar esses gatilhos desde o dia 1 do lançamento pra medir, não estimar, a conversão real o quanto antes.</t>
        </is>
      </c>
    </row>
    <row r="10" ht="15" customHeight="1" s="35">
      <c r="A10" s="47" t="inlineStr">
        <is>
          <t>3) Faturamento anual anexo (upsell de caixa, não modelado ainda)</t>
        </is>
      </c>
    </row>
    <row r="11" ht="90" customHeight="1" s="35">
      <c r="A11" s="39" t="inlineStr">
        <is>
          <t>Institutional (R$399) tem o selo 'Recommended' na landing (translations.ts) mas o modelo assume mix conservador (55-90% Pro conforme cenário). Testar: campanha de billing anual com desconto (ex: R$399×12×0,83 ≈ R$3.970/ano, 'pague 10, leve 12') aumenta caixa antecipado (reduz o menor-caixa-do-período, um dos furos já mapeados no plano de 11/07) E reduz churn mensal medido (quem já pagou o ano não cancela por impulso). Não modelado nesta versão — precisa de uma linha nova de premissa '% de assinantes em plano anual' pra entrar na planilha.</t>
        </is>
      </c>
    </row>
    <row r="13" ht="15" customHeight="1" s="35">
      <c r="A13" s="47" t="inlineStr">
        <is>
          <t>4) Syndicate Core como canal B2B separado — a real fonte de crescimento não-linear</t>
        </is>
      </c>
    </row>
    <row r="14" ht="105" customHeight="1" s="35">
      <c r="A14" s="39" t="inlineStr">
        <is>
          <t>Syndicate Core (sob medida) não tem preço público e não entra na receita recorrente do modelo — mas é onde a curva pode virar de fato exponencial: 1 contrato de mesa proprietária/fundo pequeno vale potencialmente dezenas de assinaturas Institutional, com CAC quase zero (é decisão de negociação B2B, não tráfego pago) e sem o custo de servir milhares de usuários de varejo. Vale rastrear negociações Syndicate como uma linha separada de pipeline (fora da planilha de varejo) desde já, mesmo pré-lançamento — não force esse número dentro do modelo de varejo, ele tem uma dinâmica de venda completamente diferente (ciclo longo, ticket alto, poucos clientes).</t>
        </is>
      </c>
    </row>
    <row r="16" ht="15" customHeight="1" s="35">
      <c r="A16" s="47" t="inlineStr">
        <is>
          <t>5) Reduzir CAC via comunidade/indicação em vez de só mídia paga</t>
        </is>
      </c>
    </row>
    <row r="17" ht="120" customHeight="1" s="35">
      <c r="A17" s="39" t="inlineStr">
        <is>
          <t>CAC de aquisição paga em trading de varejo é caro (R$180-260/cadastro no modelo, já alto) e o setor tem churn естrutural alto (§4 furo #3 do plano de 11/07: 'vida média de 3-6 meses'). Canais de CAC baixo pro nicho: (a) comunidade de trading (Discord/Telegram) com conteúdo educacional gratuito — constrói confiança antes da conversão, historicamente CAC 3-5x menor que ads pagos nesse vertical; (b) programa de indicação entre usuários Pro/Institutional (cashback de 1 mês de mensalidade por indicado convertido) — CAC vira quase-zero e o indicador já é um usuário retido, reforça permanência; (c) parceria com educadores/influenciadores de trading que já têm audiência (revenue share ou CPA, não salário fixo) — reduz risco de CAC afundado se o canal não performar.</t>
        </is>
      </c>
    </row>
    <row r="19" ht="15" customHeight="1" s="35">
      <c r="A19" s="47" t="inlineStr">
        <is>
          <t>6) Churn, não frequência de trade, é a alavanca que mais ameaça o modelo</t>
        </is>
      </c>
    </row>
    <row r="20" ht="120" customHeight="1" s="35">
      <c r="A20" s="39" t="inlineStr">
        <is>
          <t>O maior risco financeiro do modelo NÃO é a IA operar pouco (isso já é político — ver CLAUDE.md, edge ≈ 0 medido, cérebro desenhado pra operar pouco de propósito) — é CHURN. Com churn mensal pago de 6% (realista), a vida média de um assinante é só ~16,7 meses (1/0,06); a 8% (pessimista) cai pra 12,5 meses. Cada ponto percentual de churn reduzido tem efeito composto maior que qualquer ganho de preço ou conversão — porque afeta a BASE INSTALADA inteira, não só os novos. Prioridade de produto pra sustentar isso: os alertas de risco e disciplina (o valor central do Pro/Institutional) precisam gerar resultado percebido cedo (primeiras 2-4 semanas) pro usuário não cancelar antes de sentir o benefício — isso é retenção, não aquisição, e o modelo mostra que vale investir ali primeiro.</t>
        </is>
      </c>
    </row>
    <row r="22" ht="15" customHeight="1" s="35">
      <c r="A22" s="47" t="inlineStr">
        <is>
          <t>Nota de consistência com o resto do projeto</t>
        </is>
      </c>
    </row>
    <row r="23" ht="75" customHeight="1" s="35">
      <c r="A23" s="39" t="inlineStr">
        <is>
          <t>Nada nesta aba assume que forçar mais entradas da IA aumenta receita — o projeto já mediu (CLAUDE.md, taxa base 2026-08-05) que edge ≈ 0 pra sinal técnico clássico, então mais trade = mais custo esperado pro usuário, não mais lucro pra ninguém. As alavancas de crescimento aqui são todas de PRODUTO/GTM (conversão, retenção, canal B2B, CAC), nunca de operar mais sem edge — isso mantém o modelo financeiro consistente com a disciplina técnica que o resto do projeto já adota.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K36"/>
  <sheetViews>
    <sheetView workbookViewId="0">
      <selection activeCell="A1" sqref="A1"/>
    </sheetView>
  </sheetViews>
  <sheetFormatPr baseColWidth="8" defaultColWidth="8.6796875" defaultRowHeight="15" customHeight="0" zeroHeight="0" outlineLevelRow="0"/>
  <cols>
    <col width="46" customWidth="1" style="34" min="1" max="1"/>
    <col width="8" customWidth="1" style="34" min="2" max="2"/>
    <col width="11" customWidth="1" style="34" min="3" max="63"/>
  </cols>
  <sheetData>
    <row r="1" ht="17.35" customHeight="1" s="35">
      <c r="A1" s="36" t="inlineStr">
        <is>
          <t>Cenário Bootstrap — Projeção Mês a Mês (Lançamento + 60 meses = 5 anos) — sem CAC pago</t>
        </is>
      </c>
    </row>
    <row r="2" ht="15" customHeight="1" s="35">
      <c r="A2" s="53" t="inlineStr">
        <is>
          <t>Todas as células desta aba são fórmula. Premissas (azul) ficam só na aba 'Premissas'.</t>
        </is>
      </c>
    </row>
    <row r="3" ht="26.85" customHeight="1" s="35">
      <c r="A3" s="61" t="inlineStr">
        <is>
          <t>Métrica</t>
        </is>
      </c>
      <c r="B3" s="61" t="inlineStr">
        <is>
          <t>Unid.</t>
        </is>
      </c>
      <c r="C3" s="61" t="inlineStr">
        <is>
          <t>Lança-
mento</t>
        </is>
      </c>
      <c r="D3" s="61" t="inlineStr">
        <is>
          <t>Ano 1</t>
        </is>
      </c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6" t="n"/>
      <c r="P3" s="61" t="inlineStr">
        <is>
          <t>Ano 2</t>
        </is>
      </c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  <c r="Z3" s="55" t="n"/>
      <c r="AA3" s="56" t="n"/>
      <c r="AB3" s="61" t="inlineStr">
        <is>
          <t>Ano 3</t>
        </is>
      </c>
      <c r="AC3" s="55" t="n"/>
      <c r="AD3" s="55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6" t="n"/>
      <c r="AN3" s="61" t="inlineStr">
        <is>
          <t>Ano 4</t>
        </is>
      </c>
      <c r="AO3" s="55" t="n"/>
      <c r="AP3" s="55" t="n"/>
      <c r="AQ3" s="55" t="n"/>
      <c r="AR3" s="55" t="n"/>
      <c r="AS3" s="55" t="n"/>
      <c r="AT3" s="55" t="n"/>
      <c r="AU3" s="55" t="n"/>
      <c r="AV3" s="55" t="n"/>
      <c r="AW3" s="55" t="n"/>
      <c r="AX3" s="55" t="n"/>
      <c r="AY3" s="56" t="n"/>
      <c r="AZ3" s="61" t="inlineStr">
        <is>
          <t>Ano 5</t>
        </is>
      </c>
      <c r="BA3" s="55" t="n"/>
      <c r="BB3" s="55" t="n"/>
      <c r="BC3" s="55" t="n"/>
      <c r="BD3" s="55" t="n"/>
      <c r="BE3" s="55" t="n"/>
      <c r="BF3" s="55" t="n"/>
      <c r="BG3" s="55" t="n"/>
      <c r="BH3" s="55" t="n"/>
      <c r="BI3" s="55" t="n"/>
      <c r="BJ3" s="55" t="n"/>
      <c r="BK3" s="56" t="n"/>
    </row>
    <row r="4" ht="15" customHeight="1" s="35">
      <c r="A4" s="41" t="inlineStr">
        <is>
          <t>── FUNIL DE USUÁRIOS ──</t>
        </is>
      </c>
      <c r="B4" s="57" t="n"/>
      <c r="C4" s="57" t="inlineStr">
        <is>
          <t>0</t>
        </is>
      </c>
      <c r="D4" s="57" t="inlineStr">
        <is>
          <t>1</t>
        </is>
      </c>
      <c r="E4" s="57" t="inlineStr">
        <is>
          <t>2</t>
        </is>
      </c>
      <c r="F4" s="57" t="inlineStr">
        <is>
          <t>3</t>
        </is>
      </c>
      <c r="G4" s="57" t="inlineStr">
        <is>
          <t>4</t>
        </is>
      </c>
      <c r="H4" s="57" t="inlineStr">
        <is>
          <t>5</t>
        </is>
      </c>
      <c r="I4" s="57" t="inlineStr">
        <is>
          <t>6</t>
        </is>
      </c>
      <c r="J4" s="57" t="inlineStr">
        <is>
          <t>7</t>
        </is>
      </c>
      <c r="K4" s="57" t="inlineStr">
        <is>
          <t>8</t>
        </is>
      </c>
      <c r="L4" s="57" t="inlineStr">
        <is>
          <t>9</t>
        </is>
      </c>
      <c r="M4" s="57" t="inlineStr">
        <is>
          <t>10</t>
        </is>
      </c>
      <c r="N4" s="57" t="inlineStr">
        <is>
          <t>11</t>
        </is>
      </c>
      <c r="O4" s="57" t="inlineStr">
        <is>
          <t>12</t>
        </is>
      </c>
      <c r="P4" s="57" t="inlineStr">
        <is>
          <t>13</t>
        </is>
      </c>
      <c r="Q4" s="57" t="inlineStr">
        <is>
          <t>14</t>
        </is>
      </c>
      <c r="R4" s="57" t="inlineStr">
        <is>
          <t>15</t>
        </is>
      </c>
      <c r="S4" s="57" t="inlineStr">
        <is>
          <t>16</t>
        </is>
      </c>
      <c r="T4" s="57" t="inlineStr">
        <is>
          <t>17</t>
        </is>
      </c>
      <c r="U4" s="57" t="inlineStr">
        <is>
          <t>18</t>
        </is>
      </c>
      <c r="V4" s="57" t="inlineStr">
        <is>
          <t>19</t>
        </is>
      </c>
      <c r="W4" s="57" t="inlineStr">
        <is>
          <t>20</t>
        </is>
      </c>
      <c r="X4" s="57" t="inlineStr">
        <is>
          <t>21</t>
        </is>
      </c>
      <c r="Y4" s="57" t="inlineStr">
        <is>
          <t>22</t>
        </is>
      </c>
      <c r="Z4" s="57" t="inlineStr">
        <is>
          <t>23</t>
        </is>
      </c>
      <c r="AA4" s="57" t="inlineStr">
        <is>
          <t>24</t>
        </is>
      </c>
      <c r="AB4" s="57" t="inlineStr">
        <is>
          <t>25</t>
        </is>
      </c>
      <c r="AC4" s="57" t="inlineStr">
        <is>
          <t>26</t>
        </is>
      </c>
      <c r="AD4" s="57" t="inlineStr">
        <is>
          <t>27</t>
        </is>
      </c>
      <c r="AE4" s="57" t="inlineStr">
        <is>
          <t>28</t>
        </is>
      </c>
      <c r="AF4" s="57" t="inlineStr">
        <is>
          <t>29</t>
        </is>
      </c>
      <c r="AG4" s="57" t="inlineStr">
        <is>
          <t>30</t>
        </is>
      </c>
      <c r="AH4" s="57" t="inlineStr">
        <is>
          <t>31</t>
        </is>
      </c>
      <c r="AI4" s="57" t="inlineStr">
        <is>
          <t>32</t>
        </is>
      </c>
      <c r="AJ4" s="57" t="inlineStr">
        <is>
          <t>33</t>
        </is>
      </c>
      <c r="AK4" s="57" t="inlineStr">
        <is>
          <t>34</t>
        </is>
      </c>
      <c r="AL4" s="57" t="inlineStr">
        <is>
          <t>35</t>
        </is>
      </c>
      <c r="AM4" s="57" t="inlineStr">
        <is>
          <t>36</t>
        </is>
      </c>
      <c r="AN4" s="57" t="inlineStr">
        <is>
          <t>37</t>
        </is>
      </c>
      <c r="AO4" s="57" t="inlineStr">
        <is>
          <t>38</t>
        </is>
      </c>
      <c r="AP4" s="57" t="inlineStr">
        <is>
          <t>39</t>
        </is>
      </c>
      <c r="AQ4" s="57" t="inlineStr">
        <is>
          <t>40</t>
        </is>
      </c>
      <c r="AR4" s="57" t="inlineStr">
        <is>
          <t>41</t>
        </is>
      </c>
      <c r="AS4" s="57" t="inlineStr">
        <is>
          <t>42</t>
        </is>
      </c>
      <c r="AT4" s="57" t="inlineStr">
        <is>
          <t>43</t>
        </is>
      </c>
      <c r="AU4" s="57" t="inlineStr">
        <is>
          <t>44</t>
        </is>
      </c>
      <c r="AV4" s="57" t="inlineStr">
        <is>
          <t>45</t>
        </is>
      </c>
      <c r="AW4" s="57" t="inlineStr">
        <is>
          <t>46</t>
        </is>
      </c>
      <c r="AX4" s="57" t="inlineStr">
        <is>
          <t>47</t>
        </is>
      </c>
      <c r="AY4" s="57" t="inlineStr">
        <is>
          <t>48</t>
        </is>
      </c>
      <c r="AZ4" s="57" t="inlineStr">
        <is>
          <t>49</t>
        </is>
      </c>
      <c r="BA4" s="57" t="inlineStr">
        <is>
          <t>50</t>
        </is>
      </c>
      <c r="BB4" s="57" t="inlineStr">
        <is>
          <t>51</t>
        </is>
      </c>
      <c r="BC4" s="57" t="inlineStr">
        <is>
          <t>52</t>
        </is>
      </c>
      <c r="BD4" s="57" t="inlineStr">
        <is>
          <t>53</t>
        </is>
      </c>
      <c r="BE4" s="57" t="inlineStr">
        <is>
          <t>54</t>
        </is>
      </c>
      <c r="BF4" s="57" t="inlineStr">
        <is>
          <t>55</t>
        </is>
      </c>
      <c r="BG4" s="57" t="inlineStr">
        <is>
          <t>56</t>
        </is>
      </c>
      <c r="BH4" s="57" t="inlineStr">
        <is>
          <t>57</t>
        </is>
      </c>
      <c r="BI4" s="57" t="inlineStr">
        <is>
          <t>58</t>
        </is>
      </c>
      <c r="BJ4" s="57" t="inlineStr">
        <is>
          <t>59</t>
        </is>
      </c>
      <c r="BK4" s="57" t="inlineStr">
        <is>
          <t>60</t>
        </is>
      </c>
    </row>
    <row r="6" ht="15" customHeight="1" s="35">
      <c r="A6" s="43" t="inlineStr">
        <is>
          <t>Novos cadastros Node: Starter (qtd)</t>
        </is>
      </c>
      <c r="B6" s="53" t="inlineStr">
        <is>
          <t>qtd</t>
        </is>
      </c>
      <c r="C6" s="58" t="n">
        <v>0</v>
      </c>
      <c r="D6" s="58">
        <f>MIN(Premissas!$F$9,Premissas!$F$11)</f>
        <v/>
      </c>
      <c r="E6" s="58">
        <f>MIN(D6*(1+Premissas!$F$10),Premissas!$F$11)</f>
        <v/>
      </c>
      <c r="F6" s="58">
        <f>MIN(E6*(1+Premissas!$F$10),Premissas!$F$11)</f>
        <v/>
      </c>
      <c r="G6" s="58">
        <f>MIN(F6*(1+Premissas!$F$10),Premissas!$F$11)</f>
        <v/>
      </c>
      <c r="H6" s="58">
        <f>MIN(G6*(1+Premissas!$F$10),Premissas!$F$11)</f>
        <v/>
      </c>
      <c r="I6" s="58">
        <f>MIN(H6*(1+Premissas!$F$10),Premissas!$F$11)</f>
        <v/>
      </c>
      <c r="J6" s="58">
        <f>MIN(I6*(1+Premissas!$F$10),Premissas!$F$11)</f>
        <v/>
      </c>
      <c r="K6" s="58">
        <f>MIN(J6*(1+Premissas!$F$10),Premissas!$F$11)</f>
        <v/>
      </c>
      <c r="L6" s="58">
        <f>MIN(K6*(1+Premissas!$F$10),Premissas!$F$11)</f>
        <v/>
      </c>
      <c r="M6" s="58">
        <f>MIN(L6*(1+Premissas!$F$10),Premissas!$F$11)</f>
        <v/>
      </c>
      <c r="N6" s="58">
        <f>MIN(M6*(1+Premissas!$F$10),Premissas!$F$11)</f>
        <v/>
      </c>
      <c r="O6" s="58">
        <f>MIN(N6*(1+Premissas!$F$10),Premissas!$F$11)</f>
        <v/>
      </c>
      <c r="P6" s="58">
        <f>MIN(O6*(1+Premissas!$F$10),Premissas!$F$11)</f>
        <v/>
      </c>
      <c r="Q6" s="58">
        <f>MIN(P6*(1+Premissas!$F$10),Premissas!$F$11)</f>
        <v/>
      </c>
      <c r="R6" s="58">
        <f>MIN(Q6*(1+Premissas!$F$10),Premissas!$F$11)</f>
        <v/>
      </c>
      <c r="S6" s="58">
        <f>MIN(R6*(1+Premissas!$F$10),Premissas!$F$11)</f>
        <v/>
      </c>
      <c r="T6" s="58">
        <f>MIN(S6*(1+Premissas!$F$10),Premissas!$F$11)</f>
        <v/>
      </c>
      <c r="U6" s="58">
        <f>MIN(T6*(1+Premissas!$F$10),Premissas!$F$11)</f>
        <v/>
      </c>
      <c r="V6" s="58">
        <f>MIN(U6*(1+Premissas!$F$10),Premissas!$F$11)</f>
        <v/>
      </c>
      <c r="W6" s="58">
        <f>MIN(V6*(1+Premissas!$F$10),Premissas!$F$11)</f>
        <v/>
      </c>
      <c r="X6" s="58">
        <f>MIN(W6*(1+Premissas!$F$10),Premissas!$F$11)</f>
        <v/>
      </c>
      <c r="Y6" s="58">
        <f>MIN(X6*(1+Premissas!$F$10),Premissas!$F$11)</f>
        <v/>
      </c>
      <c r="Z6" s="58">
        <f>MIN(Y6*(1+Premissas!$F$10),Premissas!$F$11)</f>
        <v/>
      </c>
      <c r="AA6" s="58">
        <f>MIN(Z6*(1+Premissas!$F$10),Premissas!$F$11)</f>
        <v/>
      </c>
      <c r="AB6" s="58">
        <f>MIN(AA6*(1+Premissas!$F$10),Premissas!$F$11)</f>
        <v/>
      </c>
      <c r="AC6" s="58">
        <f>MIN(AB6*(1+Premissas!$F$10),Premissas!$F$11)</f>
        <v/>
      </c>
      <c r="AD6" s="58">
        <f>MIN(AC6*(1+Premissas!$F$10),Premissas!$F$11)</f>
        <v/>
      </c>
      <c r="AE6" s="58">
        <f>MIN(AD6*(1+Premissas!$F$10),Premissas!$F$11)</f>
        <v/>
      </c>
      <c r="AF6" s="58">
        <f>MIN(AE6*(1+Premissas!$F$10),Premissas!$F$11)</f>
        <v/>
      </c>
      <c r="AG6" s="58">
        <f>MIN(AF6*(1+Premissas!$F$10),Premissas!$F$11)</f>
        <v/>
      </c>
      <c r="AH6" s="58">
        <f>MIN(AG6*(1+Premissas!$F$10),Premissas!$F$11)</f>
        <v/>
      </c>
      <c r="AI6" s="58">
        <f>MIN(AH6*(1+Premissas!$F$10),Premissas!$F$11)</f>
        <v/>
      </c>
      <c r="AJ6" s="58">
        <f>MIN(AI6*(1+Premissas!$F$10),Premissas!$F$11)</f>
        <v/>
      </c>
      <c r="AK6" s="58">
        <f>MIN(AJ6*(1+Premissas!$F$10),Premissas!$F$11)</f>
        <v/>
      </c>
      <c r="AL6" s="58">
        <f>MIN(AK6*(1+Premissas!$F$10),Premissas!$F$11)</f>
        <v/>
      </c>
      <c r="AM6" s="58">
        <f>MIN(AL6*(1+Premissas!$F$10),Premissas!$F$11)</f>
        <v/>
      </c>
      <c r="AN6" s="58">
        <f>MIN(AM6*(1+Premissas!$F$10),Premissas!$F$11)</f>
        <v/>
      </c>
      <c r="AO6" s="58">
        <f>MIN(AN6*(1+Premissas!$F$10),Premissas!$F$11)</f>
        <v/>
      </c>
      <c r="AP6" s="58">
        <f>MIN(AO6*(1+Premissas!$F$10),Premissas!$F$11)</f>
        <v/>
      </c>
      <c r="AQ6" s="58">
        <f>MIN(AP6*(1+Premissas!$F$10),Premissas!$F$11)</f>
        <v/>
      </c>
      <c r="AR6" s="58">
        <f>MIN(AQ6*(1+Premissas!$F$10),Premissas!$F$11)</f>
        <v/>
      </c>
      <c r="AS6" s="58">
        <f>MIN(AR6*(1+Premissas!$F$10),Premissas!$F$11)</f>
        <v/>
      </c>
      <c r="AT6" s="58">
        <f>MIN(AS6*(1+Premissas!$F$10),Premissas!$F$11)</f>
        <v/>
      </c>
      <c r="AU6" s="58">
        <f>MIN(AT6*(1+Premissas!$F$10),Premissas!$F$11)</f>
        <v/>
      </c>
      <c r="AV6" s="58">
        <f>MIN(AU6*(1+Premissas!$F$10),Premissas!$F$11)</f>
        <v/>
      </c>
      <c r="AW6" s="58">
        <f>MIN(AV6*(1+Premissas!$F$10),Premissas!$F$11)</f>
        <v/>
      </c>
      <c r="AX6" s="58">
        <f>MIN(AW6*(1+Premissas!$F$10),Premissas!$F$11)</f>
        <v/>
      </c>
      <c r="AY6" s="58">
        <f>MIN(AX6*(1+Premissas!$F$10),Premissas!$F$11)</f>
        <v/>
      </c>
      <c r="AZ6" s="58">
        <f>MIN(AY6*(1+Premissas!$F$10),Premissas!$F$11)</f>
        <v/>
      </c>
      <c r="BA6" s="58">
        <f>MIN(AZ6*(1+Premissas!$F$10),Premissas!$F$11)</f>
        <v/>
      </c>
      <c r="BB6" s="58">
        <f>MIN(BA6*(1+Premissas!$F$10),Premissas!$F$11)</f>
        <v/>
      </c>
      <c r="BC6" s="58">
        <f>MIN(BB6*(1+Premissas!$F$10),Premissas!$F$11)</f>
        <v/>
      </c>
      <c r="BD6" s="58">
        <f>MIN(BC6*(1+Premissas!$F$10),Premissas!$F$11)</f>
        <v/>
      </c>
      <c r="BE6" s="58">
        <f>MIN(BD6*(1+Premissas!$F$10),Premissas!$F$11)</f>
        <v/>
      </c>
      <c r="BF6" s="58">
        <f>MIN(BE6*(1+Premissas!$F$10),Premissas!$F$11)</f>
        <v/>
      </c>
      <c r="BG6" s="58">
        <f>MIN(BF6*(1+Premissas!$F$10),Premissas!$F$11)</f>
        <v/>
      </c>
      <c r="BH6" s="58">
        <f>MIN(BG6*(1+Premissas!$F$10),Premissas!$F$11)</f>
        <v/>
      </c>
      <c r="BI6" s="58">
        <f>MIN(BH6*(1+Premissas!$F$10),Premissas!$F$11)</f>
        <v/>
      </c>
      <c r="BJ6" s="58">
        <f>MIN(BI6*(1+Premissas!$F$10),Premissas!$F$11)</f>
        <v/>
      </c>
      <c r="BK6" s="58">
        <f>MIN(BJ6*(1+Premissas!$F$10),Premissas!$F$11)</f>
        <v/>
      </c>
    </row>
    <row r="7" ht="15" customHeight="1" s="35">
      <c r="A7" s="43" t="inlineStr">
        <is>
          <t>Convertidos Starter → Pago no mês (qtd)</t>
        </is>
      </c>
      <c r="B7" s="53" t="inlineStr">
        <is>
          <t>qtd</t>
        </is>
      </c>
      <c r="C7" s="58" t="n">
        <v>0</v>
      </c>
      <c r="D7" s="58" t="n">
        <v>0</v>
      </c>
      <c r="E7" s="58">
        <f>C6*Premissas!$F$12</f>
        <v/>
      </c>
      <c r="F7" s="58">
        <f>D6*Premissas!$F$12</f>
        <v/>
      </c>
      <c r="G7" s="58">
        <f>E6*Premissas!$F$12</f>
        <v/>
      </c>
      <c r="H7" s="58">
        <f>F6*Premissas!$F$12</f>
        <v/>
      </c>
      <c r="I7" s="58">
        <f>G6*Premissas!$F$12</f>
        <v/>
      </c>
      <c r="J7" s="58">
        <f>H6*Premissas!$F$12</f>
        <v/>
      </c>
      <c r="K7" s="58">
        <f>I6*Premissas!$F$12</f>
        <v/>
      </c>
      <c r="L7" s="58">
        <f>J6*Premissas!$F$12</f>
        <v/>
      </c>
      <c r="M7" s="58">
        <f>K6*Premissas!$F$12</f>
        <v/>
      </c>
      <c r="N7" s="58">
        <f>L6*Premissas!$F$12</f>
        <v/>
      </c>
      <c r="O7" s="58">
        <f>M6*Premissas!$F$12</f>
        <v/>
      </c>
      <c r="P7" s="58">
        <f>N6*Premissas!$F$12</f>
        <v/>
      </c>
      <c r="Q7" s="58">
        <f>O6*Premissas!$F$12</f>
        <v/>
      </c>
      <c r="R7" s="58">
        <f>P6*Premissas!$F$12</f>
        <v/>
      </c>
      <c r="S7" s="58">
        <f>Q6*Premissas!$F$12</f>
        <v/>
      </c>
      <c r="T7" s="58">
        <f>R6*Premissas!$F$12</f>
        <v/>
      </c>
      <c r="U7" s="58">
        <f>S6*Premissas!$F$12</f>
        <v/>
      </c>
      <c r="V7" s="58">
        <f>T6*Premissas!$F$12</f>
        <v/>
      </c>
      <c r="W7" s="58">
        <f>U6*Premissas!$F$12</f>
        <v/>
      </c>
      <c r="X7" s="58">
        <f>V6*Premissas!$F$12</f>
        <v/>
      </c>
      <c r="Y7" s="58">
        <f>W6*Premissas!$F$12</f>
        <v/>
      </c>
      <c r="Z7" s="58">
        <f>X6*Premissas!$F$12</f>
        <v/>
      </c>
      <c r="AA7" s="58">
        <f>Y6*Premissas!$F$12</f>
        <v/>
      </c>
      <c r="AB7" s="58">
        <f>Z6*Premissas!$F$12</f>
        <v/>
      </c>
      <c r="AC7" s="58">
        <f>AA6*Premissas!$F$12</f>
        <v/>
      </c>
      <c r="AD7" s="58">
        <f>AB6*Premissas!$F$12</f>
        <v/>
      </c>
      <c r="AE7" s="58">
        <f>AC6*Premissas!$F$12</f>
        <v/>
      </c>
      <c r="AF7" s="58">
        <f>AD6*Premissas!$F$12</f>
        <v/>
      </c>
      <c r="AG7" s="58">
        <f>AE6*Premissas!$F$12</f>
        <v/>
      </c>
      <c r="AH7" s="58">
        <f>AF6*Premissas!$F$12</f>
        <v/>
      </c>
      <c r="AI7" s="58">
        <f>AG6*Premissas!$F$12</f>
        <v/>
      </c>
      <c r="AJ7" s="58">
        <f>AH6*Premissas!$F$12</f>
        <v/>
      </c>
      <c r="AK7" s="58">
        <f>AI6*Premissas!$F$12</f>
        <v/>
      </c>
      <c r="AL7" s="58">
        <f>AJ6*Premissas!$F$12</f>
        <v/>
      </c>
      <c r="AM7" s="58">
        <f>AK6*Premissas!$F$12</f>
        <v/>
      </c>
      <c r="AN7" s="58">
        <f>AL6*Premissas!$F$12</f>
        <v/>
      </c>
      <c r="AO7" s="58">
        <f>AM6*Premissas!$F$12</f>
        <v/>
      </c>
      <c r="AP7" s="58">
        <f>AN6*Premissas!$F$12</f>
        <v/>
      </c>
      <c r="AQ7" s="58">
        <f>AO6*Premissas!$F$12</f>
        <v/>
      </c>
      <c r="AR7" s="58">
        <f>AP6*Premissas!$F$12</f>
        <v/>
      </c>
      <c r="AS7" s="58">
        <f>AQ6*Premissas!$F$12</f>
        <v/>
      </c>
      <c r="AT7" s="58">
        <f>AR6*Premissas!$F$12</f>
        <v/>
      </c>
      <c r="AU7" s="58">
        <f>AS6*Premissas!$F$12</f>
        <v/>
      </c>
      <c r="AV7" s="58">
        <f>AT6*Premissas!$F$12</f>
        <v/>
      </c>
      <c r="AW7" s="58">
        <f>AU6*Premissas!$F$12</f>
        <v/>
      </c>
      <c r="AX7" s="58">
        <f>AV6*Premissas!$F$12</f>
        <v/>
      </c>
      <c r="AY7" s="58">
        <f>AW6*Premissas!$F$12</f>
        <v/>
      </c>
      <c r="AZ7" s="58">
        <f>AX6*Premissas!$F$12</f>
        <v/>
      </c>
      <c r="BA7" s="58">
        <f>AY6*Premissas!$F$12</f>
        <v/>
      </c>
      <c r="BB7" s="58">
        <f>AZ6*Premissas!$F$12</f>
        <v/>
      </c>
      <c r="BC7" s="58">
        <f>BA6*Premissas!$F$12</f>
        <v/>
      </c>
      <c r="BD7" s="58">
        <f>BB6*Premissas!$F$12</f>
        <v/>
      </c>
      <c r="BE7" s="58">
        <f>BC6*Premissas!$F$12</f>
        <v/>
      </c>
      <c r="BF7" s="58">
        <f>BD6*Premissas!$F$12</f>
        <v/>
      </c>
      <c r="BG7" s="58">
        <f>BE6*Premissas!$F$12</f>
        <v/>
      </c>
      <c r="BH7" s="58">
        <f>BF6*Premissas!$F$12</f>
        <v/>
      </c>
      <c r="BI7" s="58">
        <f>BG6*Premissas!$F$12</f>
        <v/>
      </c>
      <c r="BJ7" s="58">
        <f>BH6*Premissas!$F$12</f>
        <v/>
      </c>
      <c r="BK7" s="58">
        <f>BI6*Premissas!$F$12</f>
        <v/>
      </c>
    </row>
    <row r="8" ht="15" customHeight="1" s="35">
      <c r="A8" s="43" t="inlineStr">
        <is>
          <t>Node: Starter ativos (qtd)</t>
        </is>
      </c>
      <c r="B8" s="53" t="inlineStr">
        <is>
          <t>qtd</t>
        </is>
      </c>
      <c r="C8" s="58" t="n">
        <v>0</v>
      </c>
      <c r="D8" s="58">
        <f>C8*(1-Premissas!$F$14)+D6-D7</f>
        <v/>
      </c>
      <c r="E8" s="58">
        <f>D8*(1-Premissas!$F$14)+E6-E7</f>
        <v/>
      </c>
      <c r="F8" s="58">
        <f>E8*(1-Premissas!$F$14)+F6-F7</f>
        <v/>
      </c>
      <c r="G8" s="58">
        <f>F8*(1-Premissas!$F$14)+G6-G7</f>
        <v/>
      </c>
      <c r="H8" s="58">
        <f>G8*(1-Premissas!$F$14)+H6-H7</f>
        <v/>
      </c>
      <c r="I8" s="58">
        <f>H8*(1-Premissas!$F$14)+I6-I7</f>
        <v/>
      </c>
      <c r="J8" s="58">
        <f>I8*(1-Premissas!$F$14)+J6-J7</f>
        <v/>
      </c>
      <c r="K8" s="58">
        <f>J8*(1-Premissas!$F$14)+K6-K7</f>
        <v/>
      </c>
      <c r="L8" s="58">
        <f>K8*(1-Premissas!$F$14)+L6-L7</f>
        <v/>
      </c>
      <c r="M8" s="58">
        <f>L8*(1-Premissas!$F$14)+M6-M7</f>
        <v/>
      </c>
      <c r="N8" s="58">
        <f>M8*(1-Premissas!$F$14)+N6-N7</f>
        <v/>
      </c>
      <c r="O8" s="58">
        <f>N8*(1-Premissas!$F$14)+O6-O7</f>
        <v/>
      </c>
      <c r="P8" s="58">
        <f>O8*(1-Premissas!$F$14)+P6-P7</f>
        <v/>
      </c>
      <c r="Q8" s="58">
        <f>P8*(1-Premissas!$F$14)+Q6-Q7</f>
        <v/>
      </c>
      <c r="R8" s="58">
        <f>Q8*(1-Premissas!$F$14)+R6-R7</f>
        <v/>
      </c>
      <c r="S8" s="58">
        <f>R8*(1-Premissas!$F$14)+S6-S7</f>
        <v/>
      </c>
      <c r="T8" s="58">
        <f>S8*(1-Premissas!$F$14)+T6-T7</f>
        <v/>
      </c>
      <c r="U8" s="58">
        <f>T8*(1-Premissas!$F$14)+U6-U7</f>
        <v/>
      </c>
      <c r="V8" s="58">
        <f>U8*(1-Premissas!$F$14)+V6-V7</f>
        <v/>
      </c>
      <c r="W8" s="58">
        <f>V8*(1-Premissas!$F$14)+W6-W7</f>
        <v/>
      </c>
      <c r="X8" s="58">
        <f>W8*(1-Premissas!$F$14)+X6-X7</f>
        <v/>
      </c>
      <c r="Y8" s="58">
        <f>X8*(1-Premissas!$F$14)+Y6-Y7</f>
        <v/>
      </c>
      <c r="Z8" s="58">
        <f>Y8*(1-Premissas!$F$14)+Z6-Z7</f>
        <v/>
      </c>
      <c r="AA8" s="58">
        <f>Z8*(1-Premissas!$F$14)+AA6-AA7</f>
        <v/>
      </c>
      <c r="AB8" s="58">
        <f>AA8*(1-Premissas!$F$14)+AB6-AB7</f>
        <v/>
      </c>
      <c r="AC8" s="58">
        <f>AB8*(1-Premissas!$F$14)+AC6-AC7</f>
        <v/>
      </c>
      <c r="AD8" s="58">
        <f>AC8*(1-Premissas!$F$14)+AD6-AD7</f>
        <v/>
      </c>
      <c r="AE8" s="58">
        <f>AD8*(1-Premissas!$F$14)+AE6-AE7</f>
        <v/>
      </c>
      <c r="AF8" s="58">
        <f>AE8*(1-Premissas!$F$14)+AF6-AF7</f>
        <v/>
      </c>
      <c r="AG8" s="58">
        <f>AF8*(1-Premissas!$F$14)+AG6-AG7</f>
        <v/>
      </c>
      <c r="AH8" s="58">
        <f>AG8*(1-Premissas!$F$14)+AH6-AH7</f>
        <v/>
      </c>
      <c r="AI8" s="58">
        <f>AH8*(1-Premissas!$F$14)+AI6-AI7</f>
        <v/>
      </c>
      <c r="AJ8" s="58">
        <f>AI8*(1-Premissas!$F$14)+AJ6-AJ7</f>
        <v/>
      </c>
      <c r="AK8" s="58">
        <f>AJ8*(1-Premissas!$F$14)+AK6-AK7</f>
        <v/>
      </c>
      <c r="AL8" s="58">
        <f>AK8*(1-Premissas!$F$14)+AL6-AL7</f>
        <v/>
      </c>
      <c r="AM8" s="58">
        <f>AL8*(1-Premissas!$F$14)+AM6-AM7</f>
        <v/>
      </c>
      <c r="AN8" s="58">
        <f>AM8*(1-Premissas!$F$14)+AN6-AN7</f>
        <v/>
      </c>
      <c r="AO8" s="58">
        <f>AN8*(1-Premissas!$F$14)+AO6-AO7</f>
        <v/>
      </c>
      <c r="AP8" s="58">
        <f>AO8*(1-Premissas!$F$14)+AP6-AP7</f>
        <v/>
      </c>
      <c r="AQ8" s="58">
        <f>AP8*(1-Premissas!$F$14)+AQ6-AQ7</f>
        <v/>
      </c>
      <c r="AR8" s="58">
        <f>AQ8*(1-Premissas!$F$14)+AR6-AR7</f>
        <v/>
      </c>
      <c r="AS8" s="58">
        <f>AR8*(1-Premissas!$F$14)+AS6-AS7</f>
        <v/>
      </c>
      <c r="AT8" s="58">
        <f>AS8*(1-Premissas!$F$14)+AT6-AT7</f>
        <v/>
      </c>
      <c r="AU8" s="58">
        <f>AT8*(1-Premissas!$F$14)+AU6-AU7</f>
        <v/>
      </c>
      <c r="AV8" s="58">
        <f>AU8*(1-Premissas!$F$14)+AV6-AV7</f>
        <v/>
      </c>
      <c r="AW8" s="58">
        <f>AV8*(1-Premissas!$F$14)+AW6-AW7</f>
        <v/>
      </c>
      <c r="AX8" s="58">
        <f>AW8*(1-Premissas!$F$14)+AX6-AX7</f>
        <v/>
      </c>
      <c r="AY8" s="58">
        <f>AX8*(1-Premissas!$F$14)+AY6-AY7</f>
        <v/>
      </c>
      <c r="AZ8" s="58">
        <f>AY8*(1-Premissas!$F$14)+AZ6-AZ7</f>
        <v/>
      </c>
      <c r="BA8" s="58">
        <f>AZ8*(1-Premissas!$F$14)+BA6-BA7</f>
        <v/>
      </c>
      <c r="BB8" s="58">
        <f>BA8*(1-Premissas!$F$14)+BB6-BB7</f>
        <v/>
      </c>
      <c r="BC8" s="58">
        <f>BB8*(1-Premissas!$F$14)+BC6-BC7</f>
        <v/>
      </c>
      <c r="BD8" s="58">
        <f>BC8*(1-Premissas!$F$14)+BD6-BD7</f>
        <v/>
      </c>
      <c r="BE8" s="58">
        <f>BD8*(1-Premissas!$F$14)+BE6-BE7</f>
        <v/>
      </c>
      <c r="BF8" s="58">
        <f>BE8*(1-Premissas!$F$14)+BF6-BF7</f>
        <v/>
      </c>
      <c r="BG8" s="58">
        <f>BF8*(1-Premissas!$F$14)+BG6-BG7</f>
        <v/>
      </c>
      <c r="BH8" s="58">
        <f>BG8*(1-Premissas!$F$14)+BH6-BH7</f>
        <v/>
      </c>
      <c r="BI8" s="58">
        <f>BH8*(1-Premissas!$F$14)+BI6-BI7</f>
        <v/>
      </c>
      <c r="BJ8" s="58">
        <f>BI8*(1-Premissas!$F$14)+BJ6-BJ7</f>
        <v/>
      </c>
      <c r="BK8" s="58">
        <f>BJ8*(1-Premissas!$F$14)+BK6-BK7</f>
        <v/>
      </c>
    </row>
    <row r="9" ht="15" customHeight="1" s="35">
      <c r="A9" s="43" t="inlineStr">
        <is>
          <t>Novos pagantes Node: Pro no mês (qtd)</t>
        </is>
      </c>
      <c r="B9" s="53" t="inlineStr">
        <is>
          <t>qtd</t>
        </is>
      </c>
      <c r="C9" s="58" t="n">
        <v>0</v>
      </c>
      <c r="D9" s="58">
        <f>D7*Premissas!$F$13</f>
        <v/>
      </c>
      <c r="E9" s="58">
        <f>E7*Premissas!$F$13</f>
        <v/>
      </c>
      <c r="F9" s="58">
        <f>F7*Premissas!$F$13</f>
        <v/>
      </c>
      <c r="G9" s="58">
        <f>G7*Premissas!$F$13</f>
        <v/>
      </c>
      <c r="H9" s="58">
        <f>H7*Premissas!$F$13</f>
        <v/>
      </c>
      <c r="I9" s="58">
        <f>I7*Premissas!$F$13</f>
        <v/>
      </c>
      <c r="J9" s="58">
        <f>J7*Premissas!$F$13</f>
        <v/>
      </c>
      <c r="K9" s="58">
        <f>K7*Premissas!$F$13</f>
        <v/>
      </c>
      <c r="L9" s="58">
        <f>L7*Premissas!$F$13</f>
        <v/>
      </c>
      <c r="M9" s="58">
        <f>M7*Premissas!$F$13</f>
        <v/>
      </c>
      <c r="N9" s="58">
        <f>N7*Premissas!$F$13</f>
        <v/>
      </c>
      <c r="O9" s="58">
        <f>O7*Premissas!$F$13</f>
        <v/>
      </c>
      <c r="P9" s="58">
        <f>P7*Premissas!$F$13</f>
        <v/>
      </c>
      <c r="Q9" s="58">
        <f>Q7*Premissas!$F$13</f>
        <v/>
      </c>
      <c r="R9" s="58">
        <f>R7*Premissas!$F$13</f>
        <v/>
      </c>
      <c r="S9" s="58">
        <f>S7*Premissas!$F$13</f>
        <v/>
      </c>
      <c r="T9" s="58">
        <f>T7*Premissas!$F$13</f>
        <v/>
      </c>
      <c r="U9" s="58">
        <f>U7*Premissas!$F$13</f>
        <v/>
      </c>
      <c r="V9" s="58">
        <f>V7*Premissas!$F$13</f>
        <v/>
      </c>
      <c r="W9" s="58">
        <f>W7*Premissas!$F$13</f>
        <v/>
      </c>
      <c r="X9" s="58">
        <f>X7*Premissas!$F$13</f>
        <v/>
      </c>
      <c r="Y9" s="58">
        <f>Y7*Premissas!$F$13</f>
        <v/>
      </c>
      <c r="Z9" s="58">
        <f>Z7*Premissas!$F$13</f>
        <v/>
      </c>
      <c r="AA9" s="58">
        <f>AA7*Premissas!$F$13</f>
        <v/>
      </c>
      <c r="AB9" s="58">
        <f>AB7*Premissas!$F$13</f>
        <v/>
      </c>
      <c r="AC9" s="58">
        <f>AC7*Premissas!$F$13</f>
        <v/>
      </c>
      <c r="AD9" s="58">
        <f>AD7*Premissas!$F$13</f>
        <v/>
      </c>
      <c r="AE9" s="58">
        <f>AE7*Premissas!$F$13</f>
        <v/>
      </c>
      <c r="AF9" s="58">
        <f>AF7*Premissas!$F$13</f>
        <v/>
      </c>
      <c r="AG9" s="58">
        <f>AG7*Premissas!$F$13</f>
        <v/>
      </c>
      <c r="AH9" s="58">
        <f>AH7*Premissas!$F$13</f>
        <v/>
      </c>
      <c r="AI9" s="58">
        <f>AI7*Premissas!$F$13</f>
        <v/>
      </c>
      <c r="AJ9" s="58">
        <f>AJ7*Premissas!$F$13</f>
        <v/>
      </c>
      <c r="AK9" s="58">
        <f>AK7*Premissas!$F$13</f>
        <v/>
      </c>
      <c r="AL9" s="58">
        <f>AL7*Premissas!$F$13</f>
        <v/>
      </c>
      <c r="AM9" s="58">
        <f>AM7*Premissas!$F$13</f>
        <v/>
      </c>
      <c r="AN9" s="58">
        <f>AN7*Premissas!$F$13</f>
        <v/>
      </c>
      <c r="AO9" s="58">
        <f>AO7*Premissas!$F$13</f>
        <v/>
      </c>
      <c r="AP9" s="58">
        <f>AP7*Premissas!$F$13</f>
        <v/>
      </c>
      <c r="AQ9" s="58">
        <f>AQ7*Premissas!$F$13</f>
        <v/>
      </c>
      <c r="AR9" s="58">
        <f>AR7*Premissas!$F$13</f>
        <v/>
      </c>
      <c r="AS9" s="58">
        <f>AS7*Premissas!$F$13</f>
        <v/>
      </c>
      <c r="AT9" s="58">
        <f>AT7*Premissas!$F$13</f>
        <v/>
      </c>
      <c r="AU9" s="58">
        <f>AU7*Premissas!$F$13</f>
        <v/>
      </c>
      <c r="AV9" s="58">
        <f>AV7*Premissas!$F$13</f>
        <v/>
      </c>
      <c r="AW9" s="58">
        <f>AW7*Premissas!$F$13</f>
        <v/>
      </c>
      <c r="AX9" s="58">
        <f>AX7*Premissas!$F$13</f>
        <v/>
      </c>
      <c r="AY9" s="58">
        <f>AY7*Premissas!$F$13</f>
        <v/>
      </c>
      <c r="AZ9" s="58">
        <f>AZ7*Premissas!$F$13</f>
        <v/>
      </c>
      <c r="BA9" s="58">
        <f>BA7*Premissas!$F$13</f>
        <v/>
      </c>
      <c r="BB9" s="58">
        <f>BB7*Premissas!$F$13</f>
        <v/>
      </c>
      <c r="BC9" s="58">
        <f>BC7*Premissas!$F$13</f>
        <v/>
      </c>
      <c r="BD9" s="58">
        <f>BD7*Premissas!$F$13</f>
        <v/>
      </c>
      <c r="BE9" s="58">
        <f>BE7*Premissas!$F$13</f>
        <v/>
      </c>
      <c r="BF9" s="58">
        <f>BF7*Premissas!$F$13</f>
        <v/>
      </c>
      <c r="BG9" s="58">
        <f>BG7*Premissas!$F$13</f>
        <v/>
      </c>
      <c r="BH9" s="58">
        <f>BH7*Premissas!$F$13</f>
        <v/>
      </c>
      <c r="BI9" s="58">
        <f>BI7*Premissas!$F$13</f>
        <v/>
      </c>
      <c r="BJ9" s="58">
        <f>BJ7*Premissas!$F$13</f>
        <v/>
      </c>
      <c r="BK9" s="58">
        <f>BK7*Premissas!$F$13</f>
        <v/>
      </c>
    </row>
    <row r="10" ht="15" customHeight="1" s="35">
      <c r="A10" s="43" t="inlineStr">
        <is>
          <t>Novos pagantes Node: Institutional no mês (qtd)</t>
        </is>
      </c>
      <c r="B10" s="53" t="inlineStr">
        <is>
          <t>qtd</t>
        </is>
      </c>
      <c r="C10" s="58" t="n">
        <v>0</v>
      </c>
      <c r="D10" s="58">
        <f>D7*(1-Premissas!$F$13)</f>
        <v/>
      </c>
      <c r="E10" s="58">
        <f>E7*(1-Premissas!$F$13)</f>
        <v/>
      </c>
      <c r="F10" s="58">
        <f>F7*(1-Premissas!$F$13)</f>
        <v/>
      </c>
      <c r="G10" s="58">
        <f>G7*(1-Premissas!$F$13)</f>
        <v/>
      </c>
      <c r="H10" s="58">
        <f>H7*(1-Premissas!$F$13)</f>
        <v/>
      </c>
      <c r="I10" s="58">
        <f>I7*(1-Premissas!$F$13)</f>
        <v/>
      </c>
      <c r="J10" s="58">
        <f>J7*(1-Premissas!$F$13)</f>
        <v/>
      </c>
      <c r="K10" s="58">
        <f>K7*(1-Premissas!$F$13)</f>
        <v/>
      </c>
      <c r="L10" s="58">
        <f>L7*(1-Premissas!$F$13)</f>
        <v/>
      </c>
      <c r="M10" s="58">
        <f>M7*(1-Premissas!$F$13)</f>
        <v/>
      </c>
      <c r="N10" s="58">
        <f>N7*(1-Premissas!$F$13)</f>
        <v/>
      </c>
      <c r="O10" s="58">
        <f>O7*(1-Premissas!$F$13)</f>
        <v/>
      </c>
      <c r="P10" s="58">
        <f>P7*(1-Premissas!$F$13)</f>
        <v/>
      </c>
      <c r="Q10" s="58">
        <f>Q7*(1-Premissas!$F$13)</f>
        <v/>
      </c>
      <c r="R10" s="58">
        <f>R7*(1-Premissas!$F$13)</f>
        <v/>
      </c>
      <c r="S10" s="58">
        <f>S7*(1-Premissas!$F$13)</f>
        <v/>
      </c>
      <c r="T10" s="58">
        <f>T7*(1-Premissas!$F$13)</f>
        <v/>
      </c>
      <c r="U10" s="58">
        <f>U7*(1-Premissas!$F$13)</f>
        <v/>
      </c>
      <c r="V10" s="58">
        <f>V7*(1-Premissas!$F$13)</f>
        <v/>
      </c>
      <c r="W10" s="58">
        <f>W7*(1-Premissas!$F$13)</f>
        <v/>
      </c>
      <c r="X10" s="58">
        <f>X7*(1-Premissas!$F$13)</f>
        <v/>
      </c>
      <c r="Y10" s="58">
        <f>Y7*(1-Premissas!$F$13)</f>
        <v/>
      </c>
      <c r="Z10" s="58">
        <f>Z7*(1-Premissas!$F$13)</f>
        <v/>
      </c>
      <c r="AA10" s="58">
        <f>AA7*(1-Premissas!$F$13)</f>
        <v/>
      </c>
      <c r="AB10" s="58">
        <f>AB7*(1-Premissas!$F$13)</f>
        <v/>
      </c>
      <c r="AC10" s="58">
        <f>AC7*(1-Premissas!$F$13)</f>
        <v/>
      </c>
      <c r="AD10" s="58">
        <f>AD7*(1-Premissas!$F$13)</f>
        <v/>
      </c>
      <c r="AE10" s="58">
        <f>AE7*(1-Premissas!$F$13)</f>
        <v/>
      </c>
      <c r="AF10" s="58">
        <f>AF7*(1-Premissas!$F$13)</f>
        <v/>
      </c>
      <c r="AG10" s="58">
        <f>AG7*(1-Premissas!$F$13)</f>
        <v/>
      </c>
      <c r="AH10" s="58">
        <f>AH7*(1-Premissas!$F$13)</f>
        <v/>
      </c>
      <c r="AI10" s="58">
        <f>AI7*(1-Premissas!$F$13)</f>
        <v/>
      </c>
      <c r="AJ10" s="58">
        <f>AJ7*(1-Premissas!$F$13)</f>
        <v/>
      </c>
      <c r="AK10" s="58">
        <f>AK7*(1-Premissas!$F$13)</f>
        <v/>
      </c>
      <c r="AL10" s="58">
        <f>AL7*(1-Premissas!$F$13)</f>
        <v/>
      </c>
      <c r="AM10" s="58">
        <f>AM7*(1-Premissas!$F$13)</f>
        <v/>
      </c>
      <c r="AN10" s="58">
        <f>AN7*(1-Premissas!$F$13)</f>
        <v/>
      </c>
      <c r="AO10" s="58">
        <f>AO7*(1-Premissas!$F$13)</f>
        <v/>
      </c>
      <c r="AP10" s="58">
        <f>AP7*(1-Premissas!$F$13)</f>
        <v/>
      </c>
      <c r="AQ10" s="58">
        <f>AQ7*(1-Premissas!$F$13)</f>
        <v/>
      </c>
      <c r="AR10" s="58">
        <f>AR7*(1-Premissas!$F$13)</f>
        <v/>
      </c>
      <c r="AS10" s="58">
        <f>AS7*(1-Premissas!$F$13)</f>
        <v/>
      </c>
      <c r="AT10" s="58">
        <f>AT7*(1-Premissas!$F$13)</f>
        <v/>
      </c>
      <c r="AU10" s="58">
        <f>AU7*(1-Premissas!$F$13)</f>
        <v/>
      </c>
      <c r="AV10" s="58">
        <f>AV7*(1-Premissas!$F$13)</f>
        <v/>
      </c>
      <c r="AW10" s="58">
        <f>AW7*(1-Premissas!$F$13)</f>
        <v/>
      </c>
      <c r="AX10" s="58">
        <f>AX7*(1-Premissas!$F$13)</f>
        <v/>
      </c>
      <c r="AY10" s="58">
        <f>AY7*(1-Premissas!$F$13)</f>
        <v/>
      </c>
      <c r="AZ10" s="58">
        <f>AZ7*(1-Premissas!$F$13)</f>
        <v/>
      </c>
      <c r="BA10" s="58">
        <f>BA7*(1-Premissas!$F$13)</f>
        <v/>
      </c>
      <c r="BB10" s="58">
        <f>BB7*(1-Premissas!$F$13)</f>
        <v/>
      </c>
      <c r="BC10" s="58">
        <f>BC7*(1-Premissas!$F$13)</f>
        <v/>
      </c>
      <c r="BD10" s="58">
        <f>BD7*(1-Premissas!$F$13)</f>
        <v/>
      </c>
      <c r="BE10" s="58">
        <f>BE7*(1-Premissas!$F$13)</f>
        <v/>
      </c>
      <c r="BF10" s="58">
        <f>BF7*(1-Premissas!$F$13)</f>
        <v/>
      </c>
      <c r="BG10" s="58">
        <f>BG7*(1-Premissas!$F$13)</f>
        <v/>
      </c>
      <c r="BH10" s="58">
        <f>BH7*(1-Premissas!$F$13)</f>
        <v/>
      </c>
      <c r="BI10" s="58">
        <f>BI7*(1-Premissas!$F$13)</f>
        <v/>
      </c>
      <c r="BJ10" s="58">
        <f>BJ7*(1-Premissas!$F$13)</f>
        <v/>
      </c>
      <c r="BK10" s="58">
        <f>BK7*(1-Premissas!$F$13)</f>
        <v/>
      </c>
    </row>
    <row r="11" ht="15" customHeight="1" s="35">
      <c r="A11" s="43" t="inlineStr">
        <is>
          <t>Node: Pro ativos (qtd)</t>
        </is>
      </c>
      <c r="B11" s="53" t="inlineStr">
        <is>
          <t>qtd</t>
        </is>
      </c>
      <c r="C11" s="58" t="n">
        <v>0</v>
      </c>
      <c r="D11" s="58">
        <f>C11*(1-Premissas!$F$15)+D9</f>
        <v/>
      </c>
      <c r="E11" s="58">
        <f>D11*(1-Premissas!$F$15)+E9</f>
        <v/>
      </c>
      <c r="F11" s="58">
        <f>E11*(1-Premissas!$F$15)+F9</f>
        <v/>
      </c>
      <c r="G11" s="58">
        <f>F11*(1-Premissas!$F$15)+G9</f>
        <v/>
      </c>
      <c r="H11" s="58">
        <f>G11*(1-Premissas!$F$15)+H9</f>
        <v/>
      </c>
      <c r="I11" s="58">
        <f>H11*(1-Premissas!$F$15)+I9</f>
        <v/>
      </c>
      <c r="J11" s="58">
        <f>I11*(1-Premissas!$F$15)+J9</f>
        <v/>
      </c>
      <c r="K11" s="58">
        <f>J11*(1-Premissas!$F$15)+K9</f>
        <v/>
      </c>
      <c r="L11" s="58">
        <f>K11*(1-Premissas!$F$15)+L9</f>
        <v/>
      </c>
      <c r="M11" s="58">
        <f>L11*(1-Premissas!$F$15)+M9</f>
        <v/>
      </c>
      <c r="N11" s="58">
        <f>M11*(1-Premissas!$F$15)+N9</f>
        <v/>
      </c>
      <c r="O11" s="58">
        <f>N11*(1-Premissas!$F$15)+O9</f>
        <v/>
      </c>
      <c r="P11" s="58">
        <f>O11*(1-Premissas!$F$15)+P9</f>
        <v/>
      </c>
      <c r="Q11" s="58">
        <f>P11*(1-Premissas!$F$15)+Q9</f>
        <v/>
      </c>
      <c r="R11" s="58">
        <f>Q11*(1-Premissas!$F$15)+R9</f>
        <v/>
      </c>
      <c r="S11" s="58">
        <f>R11*(1-Premissas!$F$15)+S9</f>
        <v/>
      </c>
      <c r="T11" s="58">
        <f>S11*(1-Premissas!$F$15)+T9</f>
        <v/>
      </c>
      <c r="U11" s="58">
        <f>T11*(1-Premissas!$F$15)+U9</f>
        <v/>
      </c>
      <c r="V11" s="58">
        <f>U11*(1-Premissas!$F$15)+V9</f>
        <v/>
      </c>
      <c r="W11" s="58">
        <f>V11*(1-Premissas!$F$15)+W9</f>
        <v/>
      </c>
      <c r="X11" s="58">
        <f>W11*(1-Premissas!$F$15)+X9</f>
        <v/>
      </c>
      <c r="Y11" s="58">
        <f>X11*(1-Premissas!$F$15)+Y9</f>
        <v/>
      </c>
      <c r="Z11" s="58">
        <f>Y11*(1-Premissas!$F$15)+Z9</f>
        <v/>
      </c>
      <c r="AA11" s="58">
        <f>Z11*(1-Premissas!$F$15)+AA9</f>
        <v/>
      </c>
      <c r="AB11" s="58">
        <f>AA11*(1-Premissas!$F$15)+AB9</f>
        <v/>
      </c>
      <c r="AC11" s="58">
        <f>AB11*(1-Premissas!$F$15)+AC9</f>
        <v/>
      </c>
      <c r="AD11" s="58">
        <f>AC11*(1-Premissas!$F$15)+AD9</f>
        <v/>
      </c>
      <c r="AE11" s="58">
        <f>AD11*(1-Premissas!$F$15)+AE9</f>
        <v/>
      </c>
      <c r="AF11" s="58">
        <f>AE11*(1-Premissas!$F$15)+AF9</f>
        <v/>
      </c>
      <c r="AG11" s="58">
        <f>AF11*(1-Premissas!$F$15)+AG9</f>
        <v/>
      </c>
      <c r="AH11" s="58">
        <f>AG11*(1-Premissas!$F$15)+AH9</f>
        <v/>
      </c>
      <c r="AI11" s="58">
        <f>AH11*(1-Premissas!$F$15)+AI9</f>
        <v/>
      </c>
      <c r="AJ11" s="58">
        <f>AI11*(1-Premissas!$F$15)+AJ9</f>
        <v/>
      </c>
      <c r="AK11" s="58">
        <f>AJ11*(1-Premissas!$F$15)+AK9</f>
        <v/>
      </c>
      <c r="AL11" s="58">
        <f>AK11*(1-Premissas!$F$15)+AL9</f>
        <v/>
      </c>
      <c r="AM11" s="58">
        <f>AL11*(1-Premissas!$F$15)+AM9</f>
        <v/>
      </c>
      <c r="AN11" s="58">
        <f>AM11*(1-Premissas!$F$15)+AN9</f>
        <v/>
      </c>
      <c r="AO11" s="58">
        <f>AN11*(1-Premissas!$F$15)+AO9</f>
        <v/>
      </c>
      <c r="AP11" s="58">
        <f>AO11*(1-Premissas!$F$15)+AP9</f>
        <v/>
      </c>
      <c r="AQ11" s="58">
        <f>AP11*(1-Premissas!$F$15)+AQ9</f>
        <v/>
      </c>
      <c r="AR11" s="58">
        <f>AQ11*(1-Premissas!$F$15)+AR9</f>
        <v/>
      </c>
      <c r="AS11" s="58">
        <f>AR11*(1-Premissas!$F$15)+AS9</f>
        <v/>
      </c>
      <c r="AT11" s="58">
        <f>AS11*(1-Premissas!$F$15)+AT9</f>
        <v/>
      </c>
      <c r="AU11" s="58">
        <f>AT11*(1-Premissas!$F$15)+AU9</f>
        <v/>
      </c>
      <c r="AV11" s="58">
        <f>AU11*(1-Premissas!$F$15)+AV9</f>
        <v/>
      </c>
      <c r="AW11" s="58">
        <f>AV11*(1-Premissas!$F$15)+AW9</f>
        <v/>
      </c>
      <c r="AX11" s="58">
        <f>AW11*(1-Premissas!$F$15)+AX9</f>
        <v/>
      </c>
      <c r="AY11" s="58">
        <f>AX11*(1-Premissas!$F$15)+AY9</f>
        <v/>
      </c>
      <c r="AZ11" s="58">
        <f>AY11*(1-Premissas!$F$15)+AZ9</f>
        <v/>
      </c>
      <c r="BA11" s="58">
        <f>AZ11*(1-Premissas!$F$15)+BA9</f>
        <v/>
      </c>
      <c r="BB11" s="58">
        <f>BA11*(1-Premissas!$F$15)+BB9</f>
        <v/>
      </c>
      <c r="BC11" s="58">
        <f>BB11*(1-Premissas!$F$15)+BC9</f>
        <v/>
      </c>
      <c r="BD11" s="58">
        <f>BC11*(1-Premissas!$F$15)+BD9</f>
        <v/>
      </c>
      <c r="BE11" s="58">
        <f>BD11*(1-Premissas!$F$15)+BE9</f>
        <v/>
      </c>
      <c r="BF11" s="58">
        <f>BE11*(1-Premissas!$F$15)+BF9</f>
        <v/>
      </c>
      <c r="BG11" s="58">
        <f>BF11*(1-Premissas!$F$15)+BG9</f>
        <v/>
      </c>
      <c r="BH11" s="58">
        <f>BG11*(1-Premissas!$F$15)+BH9</f>
        <v/>
      </c>
      <c r="BI11" s="58">
        <f>BH11*(1-Premissas!$F$15)+BI9</f>
        <v/>
      </c>
      <c r="BJ11" s="58">
        <f>BI11*(1-Premissas!$F$15)+BJ9</f>
        <v/>
      </c>
      <c r="BK11" s="58">
        <f>BJ11*(1-Premissas!$F$15)+BK9</f>
        <v/>
      </c>
    </row>
    <row r="12" ht="15" customHeight="1" s="35">
      <c r="A12" s="43" t="inlineStr">
        <is>
          <t>Node: Institutional ativos (qtd)</t>
        </is>
      </c>
      <c r="B12" s="53" t="inlineStr">
        <is>
          <t>qtd</t>
        </is>
      </c>
      <c r="C12" s="58" t="n">
        <v>0</v>
      </c>
      <c r="D12" s="58">
        <f>C12*(1-Premissas!$F$15)+D10</f>
        <v/>
      </c>
      <c r="E12" s="58">
        <f>D12*(1-Premissas!$F$15)+E10</f>
        <v/>
      </c>
      <c r="F12" s="58">
        <f>E12*(1-Premissas!$F$15)+F10</f>
        <v/>
      </c>
      <c r="G12" s="58">
        <f>F12*(1-Premissas!$F$15)+G10</f>
        <v/>
      </c>
      <c r="H12" s="58">
        <f>G12*(1-Premissas!$F$15)+H10</f>
        <v/>
      </c>
      <c r="I12" s="58">
        <f>H12*(1-Premissas!$F$15)+I10</f>
        <v/>
      </c>
      <c r="J12" s="58">
        <f>I12*(1-Premissas!$F$15)+J10</f>
        <v/>
      </c>
      <c r="K12" s="58">
        <f>J12*(1-Premissas!$F$15)+K10</f>
        <v/>
      </c>
      <c r="L12" s="58">
        <f>K12*(1-Premissas!$F$15)+L10</f>
        <v/>
      </c>
      <c r="M12" s="58">
        <f>L12*(1-Premissas!$F$15)+M10</f>
        <v/>
      </c>
      <c r="N12" s="58">
        <f>M12*(1-Premissas!$F$15)+N10</f>
        <v/>
      </c>
      <c r="O12" s="58">
        <f>N12*(1-Premissas!$F$15)+O10</f>
        <v/>
      </c>
      <c r="P12" s="58">
        <f>O12*(1-Premissas!$F$15)+P10</f>
        <v/>
      </c>
      <c r="Q12" s="58">
        <f>P12*(1-Premissas!$F$15)+Q10</f>
        <v/>
      </c>
      <c r="R12" s="58">
        <f>Q12*(1-Premissas!$F$15)+R10</f>
        <v/>
      </c>
      <c r="S12" s="58">
        <f>R12*(1-Premissas!$F$15)+S10</f>
        <v/>
      </c>
      <c r="T12" s="58">
        <f>S12*(1-Premissas!$F$15)+T10</f>
        <v/>
      </c>
      <c r="U12" s="58">
        <f>T12*(1-Premissas!$F$15)+U10</f>
        <v/>
      </c>
      <c r="V12" s="58">
        <f>U12*(1-Premissas!$F$15)+V10</f>
        <v/>
      </c>
      <c r="W12" s="58">
        <f>V12*(1-Premissas!$F$15)+W10</f>
        <v/>
      </c>
      <c r="X12" s="58">
        <f>W12*(1-Premissas!$F$15)+X10</f>
        <v/>
      </c>
      <c r="Y12" s="58">
        <f>X12*(1-Premissas!$F$15)+Y10</f>
        <v/>
      </c>
      <c r="Z12" s="58">
        <f>Y12*(1-Premissas!$F$15)+Z10</f>
        <v/>
      </c>
      <c r="AA12" s="58">
        <f>Z12*(1-Premissas!$F$15)+AA10</f>
        <v/>
      </c>
      <c r="AB12" s="58">
        <f>AA12*(1-Premissas!$F$15)+AB10</f>
        <v/>
      </c>
      <c r="AC12" s="58">
        <f>AB12*(1-Premissas!$F$15)+AC10</f>
        <v/>
      </c>
      <c r="AD12" s="58">
        <f>AC12*(1-Premissas!$F$15)+AD10</f>
        <v/>
      </c>
      <c r="AE12" s="58">
        <f>AD12*(1-Premissas!$F$15)+AE10</f>
        <v/>
      </c>
      <c r="AF12" s="58">
        <f>AE12*(1-Premissas!$F$15)+AF10</f>
        <v/>
      </c>
      <c r="AG12" s="58">
        <f>AF12*(1-Premissas!$F$15)+AG10</f>
        <v/>
      </c>
      <c r="AH12" s="58">
        <f>AG12*(1-Premissas!$F$15)+AH10</f>
        <v/>
      </c>
      <c r="AI12" s="58">
        <f>AH12*(1-Premissas!$F$15)+AI10</f>
        <v/>
      </c>
      <c r="AJ12" s="58">
        <f>AI12*(1-Premissas!$F$15)+AJ10</f>
        <v/>
      </c>
      <c r="AK12" s="58">
        <f>AJ12*(1-Premissas!$F$15)+AK10</f>
        <v/>
      </c>
      <c r="AL12" s="58">
        <f>AK12*(1-Premissas!$F$15)+AL10</f>
        <v/>
      </c>
      <c r="AM12" s="58">
        <f>AL12*(1-Premissas!$F$15)+AM10</f>
        <v/>
      </c>
      <c r="AN12" s="58">
        <f>AM12*(1-Premissas!$F$15)+AN10</f>
        <v/>
      </c>
      <c r="AO12" s="58">
        <f>AN12*(1-Premissas!$F$15)+AO10</f>
        <v/>
      </c>
      <c r="AP12" s="58">
        <f>AO12*(1-Premissas!$F$15)+AP10</f>
        <v/>
      </c>
      <c r="AQ12" s="58">
        <f>AP12*(1-Premissas!$F$15)+AQ10</f>
        <v/>
      </c>
      <c r="AR12" s="58">
        <f>AQ12*(1-Premissas!$F$15)+AR10</f>
        <v/>
      </c>
      <c r="AS12" s="58">
        <f>AR12*(1-Premissas!$F$15)+AS10</f>
        <v/>
      </c>
      <c r="AT12" s="58">
        <f>AS12*(1-Premissas!$F$15)+AT10</f>
        <v/>
      </c>
      <c r="AU12" s="58">
        <f>AT12*(1-Premissas!$F$15)+AU10</f>
        <v/>
      </c>
      <c r="AV12" s="58">
        <f>AU12*(1-Premissas!$F$15)+AV10</f>
        <v/>
      </c>
      <c r="AW12" s="58">
        <f>AV12*(1-Premissas!$F$15)+AW10</f>
        <v/>
      </c>
      <c r="AX12" s="58">
        <f>AW12*(1-Premissas!$F$15)+AX10</f>
        <v/>
      </c>
      <c r="AY12" s="58">
        <f>AX12*(1-Premissas!$F$15)+AY10</f>
        <v/>
      </c>
      <c r="AZ12" s="58">
        <f>AY12*(1-Premissas!$F$15)+AZ10</f>
        <v/>
      </c>
      <c r="BA12" s="58">
        <f>AZ12*(1-Premissas!$F$15)+BA10</f>
        <v/>
      </c>
      <c r="BB12" s="58">
        <f>BA12*(1-Premissas!$F$15)+BB10</f>
        <v/>
      </c>
      <c r="BC12" s="58">
        <f>BB12*(1-Premissas!$F$15)+BC10</f>
        <v/>
      </c>
      <c r="BD12" s="58">
        <f>BC12*(1-Premissas!$F$15)+BD10</f>
        <v/>
      </c>
      <c r="BE12" s="58">
        <f>BD12*(1-Premissas!$F$15)+BE10</f>
        <v/>
      </c>
      <c r="BF12" s="58">
        <f>BE12*(1-Premissas!$F$15)+BF10</f>
        <v/>
      </c>
      <c r="BG12" s="58">
        <f>BF12*(1-Premissas!$F$15)+BG10</f>
        <v/>
      </c>
      <c r="BH12" s="58">
        <f>BG12*(1-Premissas!$F$15)+BH10</f>
        <v/>
      </c>
      <c r="BI12" s="58">
        <f>BH12*(1-Premissas!$F$15)+BI10</f>
        <v/>
      </c>
      <c r="BJ12" s="58">
        <f>BI12*(1-Premissas!$F$15)+BJ10</f>
        <v/>
      </c>
      <c r="BK12" s="58">
        <f>BJ12*(1-Premissas!$F$15)+BK10</f>
        <v/>
      </c>
    </row>
    <row r="13" ht="15" customHeight="1" s="35">
      <c r="A13" s="47" t="inlineStr">
        <is>
          <t>Total pagantes ativos — Pro + Institutional (qtd)</t>
        </is>
      </c>
      <c r="B13" s="53" t="inlineStr">
        <is>
          <t>qtd</t>
        </is>
      </c>
      <c r="C13" s="59" t="n">
        <v>0</v>
      </c>
      <c r="D13" s="59">
        <f>D11+D12</f>
        <v/>
      </c>
      <c r="E13" s="59">
        <f>E11+E12</f>
        <v/>
      </c>
      <c r="F13" s="59">
        <f>F11+F12</f>
        <v/>
      </c>
      <c r="G13" s="59">
        <f>G11+G12</f>
        <v/>
      </c>
      <c r="H13" s="59">
        <f>H11+H12</f>
        <v/>
      </c>
      <c r="I13" s="59">
        <f>I11+I12</f>
        <v/>
      </c>
      <c r="J13" s="59">
        <f>J11+J12</f>
        <v/>
      </c>
      <c r="K13" s="59">
        <f>K11+K12</f>
        <v/>
      </c>
      <c r="L13" s="59">
        <f>L11+L12</f>
        <v/>
      </c>
      <c r="M13" s="59">
        <f>M11+M12</f>
        <v/>
      </c>
      <c r="N13" s="59">
        <f>N11+N12</f>
        <v/>
      </c>
      <c r="O13" s="59">
        <f>O11+O12</f>
        <v/>
      </c>
      <c r="P13" s="59">
        <f>P11+P12</f>
        <v/>
      </c>
      <c r="Q13" s="59">
        <f>Q11+Q12</f>
        <v/>
      </c>
      <c r="R13" s="59">
        <f>R11+R12</f>
        <v/>
      </c>
      <c r="S13" s="59">
        <f>S11+S12</f>
        <v/>
      </c>
      <c r="T13" s="59">
        <f>T11+T12</f>
        <v/>
      </c>
      <c r="U13" s="59">
        <f>U11+U12</f>
        <v/>
      </c>
      <c r="V13" s="59">
        <f>V11+V12</f>
        <v/>
      </c>
      <c r="W13" s="59">
        <f>W11+W12</f>
        <v/>
      </c>
      <c r="X13" s="59">
        <f>X11+X12</f>
        <v/>
      </c>
      <c r="Y13" s="59">
        <f>Y11+Y12</f>
        <v/>
      </c>
      <c r="Z13" s="59">
        <f>Z11+Z12</f>
        <v/>
      </c>
      <c r="AA13" s="59">
        <f>AA11+AA12</f>
        <v/>
      </c>
      <c r="AB13" s="59">
        <f>AB11+AB12</f>
        <v/>
      </c>
      <c r="AC13" s="59">
        <f>AC11+AC12</f>
        <v/>
      </c>
      <c r="AD13" s="59">
        <f>AD11+AD12</f>
        <v/>
      </c>
      <c r="AE13" s="59">
        <f>AE11+AE12</f>
        <v/>
      </c>
      <c r="AF13" s="59">
        <f>AF11+AF12</f>
        <v/>
      </c>
      <c r="AG13" s="59">
        <f>AG11+AG12</f>
        <v/>
      </c>
      <c r="AH13" s="59">
        <f>AH11+AH12</f>
        <v/>
      </c>
      <c r="AI13" s="59">
        <f>AI11+AI12</f>
        <v/>
      </c>
      <c r="AJ13" s="59">
        <f>AJ11+AJ12</f>
        <v/>
      </c>
      <c r="AK13" s="59">
        <f>AK11+AK12</f>
        <v/>
      </c>
      <c r="AL13" s="59">
        <f>AL11+AL12</f>
        <v/>
      </c>
      <c r="AM13" s="59">
        <f>AM11+AM12</f>
        <v/>
      </c>
      <c r="AN13" s="59">
        <f>AN11+AN12</f>
        <v/>
      </c>
      <c r="AO13" s="59">
        <f>AO11+AO12</f>
        <v/>
      </c>
      <c r="AP13" s="59">
        <f>AP11+AP12</f>
        <v/>
      </c>
      <c r="AQ13" s="59">
        <f>AQ11+AQ12</f>
        <v/>
      </c>
      <c r="AR13" s="59">
        <f>AR11+AR12</f>
        <v/>
      </c>
      <c r="AS13" s="59">
        <f>AS11+AS12</f>
        <v/>
      </c>
      <c r="AT13" s="59">
        <f>AT11+AT12</f>
        <v/>
      </c>
      <c r="AU13" s="59">
        <f>AU11+AU12</f>
        <v/>
      </c>
      <c r="AV13" s="59">
        <f>AV11+AV12</f>
        <v/>
      </c>
      <c r="AW13" s="59">
        <f>AW11+AW12</f>
        <v/>
      </c>
      <c r="AX13" s="59">
        <f>AX11+AX12</f>
        <v/>
      </c>
      <c r="AY13" s="59">
        <f>AY11+AY12</f>
        <v/>
      </c>
      <c r="AZ13" s="59">
        <f>AZ11+AZ12</f>
        <v/>
      </c>
      <c r="BA13" s="59">
        <f>BA11+BA12</f>
        <v/>
      </c>
      <c r="BB13" s="59">
        <f>BB11+BB12</f>
        <v/>
      </c>
      <c r="BC13" s="59">
        <f>BC11+BC12</f>
        <v/>
      </c>
      <c r="BD13" s="59">
        <f>BD11+BD12</f>
        <v/>
      </c>
      <c r="BE13" s="59">
        <f>BE11+BE12</f>
        <v/>
      </c>
      <c r="BF13" s="59">
        <f>BF11+BF12</f>
        <v/>
      </c>
      <c r="BG13" s="59">
        <f>BG11+BG12</f>
        <v/>
      </c>
      <c r="BH13" s="59">
        <f>BH11+BH12</f>
        <v/>
      </c>
      <c r="BI13" s="59">
        <f>BI11+BI12</f>
        <v/>
      </c>
      <c r="BJ13" s="59">
        <f>BJ11+BJ12</f>
        <v/>
      </c>
      <c r="BK13" s="59">
        <f>BK11+BK12</f>
        <v/>
      </c>
    </row>
    <row r="14" ht="15" customHeight="1" s="35">
      <c r="A14" s="47" t="inlineStr">
        <is>
          <t>Total usuários ativos — Starter + pagantes (qtd)</t>
        </is>
      </c>
      <c r="B14" s="53" t="inlineStr">
        <is>
          <t>qtd</t>
        </is>
      </c>
      <c r="C14" s="59" t="n">
        <v>0</v>
      </c>
      <c r="D14" s="59">
        <f>D8+D13</f>
        <v/>
      </c>
      <c r="E14" s="59">
        <f>E8+E13</f>
        <v/>
      </c>
      <c r="F14" s="59">
        <f>F8+F13</f>
        <v/>
      </c>
      <c r="G14" s="59">
        <f>G8+G13</f>
        <v/>
      </c>
      <c r="H14" s="59">
        <f>H8+H13</f>
        <v/>
      </c>
      <c r="I14" s="59">
        <f>I8+I13</f>
        <v/>
      </c>
      <c r="J14" s="59">
        <f>J8+J13</f>
        <v/>
      </c>
      <c r="K14" s="59">
        <f>K8+K13</f>
        <v/>
      </c>
      <c r="L14" s="59">
        <f>L8+L13</f>
        <v/>
      </c>
      <c r="M14" s="59">
        <f>M8+M13</f>
        <v/>
      </c>
      <c r="N14" s="59">
        <f>N8+N13</f>
        <v/>
      </c>
      <c r="O14" s="59">
        <f>O8+O13</f>
        <v/>
      </c>
      <c r="P14" s="59">
        <f>P8+P13</f>
        <v/>
      </c>
      <c r="Q14" s="59">
        <f>Q8+Q13</f>
        <v/>
      </c>
      <c r="R14" s="59">
        <f>R8+R13</f>
        <v/>
      </c>
      <c r="S14" s="59">
        <f>S8+S13</f>
        <v/>
      </c>
      <c r="T14" s="59">
        <f>T8+T13</f>
        <v/>
      </c>
      <c r="U14" s="59">
        <f>U8+U13</f>
        <v/>
      </c>
      <c r="V14" s="59">
        <f>V8+V13</f>
        <v/>
      </c>
      <c r="W14" s="59">
        <f>W8+W13</f>
        <v/>
      </c>
      <c r="X14" s="59">
        <f>X8+X13</f>
        <v/>
      </c>
      <c r="Y14" s="59">
        <f>Y8+Y13</f>
        <v/>
      </c>
      <c r="Z14" s="59">
        <f>Z8+Z13</f>
        <v/>
      </c>
      <c r="AA14" s="59">
        <f>AA8+AA13</f>
        <v/>
      </c>
      <c r="AB14" s="59">
        <f>AB8+AB13</f>
        <v/>
      </c>
      <c r="AC14" s="59">
        <f>AC8+AC13</f>
        <v/>
      </c>
      <c r="AD14" s="59">
        <f>AD8+AD13</f>
        <v/>
      </c>
      <c r="AE14" s="59">
        <f>AE8+AE13</f>
        <v/>
      </c>
      <c r="AF14" s="59">
        <f>AF8+AF13</f>
        <v/>
      </c>
      <c r="AG14" s="59">
        <f>AG8+AG13</f>
        <v/>
      </c>
      <c r="AH14" s="59">
        <f>AH8+AH13</f>
        <v/>
      </c>
      <c r="AI14" s="59">
        <f>AI8+AI13</f>
        <v/>
      </c>
      <c r="AJ14" s="59">
        <f>AJ8+AJ13</f>
        <v/>
      </c>
      <c r="AK14" s="59">
        <f>AK8+AK13</f>
        <v/>
      </c>
      <c r="AL14" s="59">
        <f>AL8+AL13</f>
        <v/>
      </c>
      <c r="AM14" s="59">
        <f>AM8+AM13</f>
        <v/>
      </c>
      <c r="AN14" s="59">
        <f>AN8+AN13</f>
        <v/>
      </c>
      <c r="AO14" s="59">
        <f>AO8+AO13</f>
        <v/>
      </c>
      <c r="AP14" s="59">
        <f>AP8+AP13</f>
        <v/>
      </c>
      <c r="AQ14" s="59">
        <f>AQ8+AQ13</f>
        <v/>
      </c>
      <c r="AR14" s="59">
        <f>AR8+AR13</f>
        <v/>
      </c>
      <c r="AS14" s="59">
        <f>AS8+AS13</f>
        <v/>
      </c>
      <c r="AT14" s="59">
        <f>AT8+AT13</f>
        <v/>
      </c>
      <c r="AU14" s="59">
        <f>AU8+AU13</f>
        <v/>
      </c>
      <c r="AV14" s="59">
        <f>AV8+AV13</f>
        <v/>
      </c>
      <c r="AW14" s="59">
        <f>AW8+AW13</f>
        <v/>
      </c>
      <c r="AX14" s="59">
        <f>AX8+AX13</f>
        <v/>
      </c>
      <c r="AY14" s="59">
        <f>AY8+AY13</f>
        <v/>
      </c>
      <c r="AZ14" s="59">
        <f>AZ8+AZ13</f>
        <v/>
      </c>
      <c r="BA14" s="59">
        <f>BA8+BA13</f>
        <v/>
      </c>
      <c r="BB14" s="59">
        <f>BB8+BB13</f>
        <v/>
      </c>
      <c r="BC14" s="59">
        <f>BC8+BC13</f>
        <v/>
      </c>
      <c r="BD14" s="59">
        <f>BD8+BD13</f>
        <v/>
      </c>
      <c r="BE14" s="59">
        <f>BE8+BE13</f>
        <v/>
      </c>
      <c r="BF14" s="59">
        <f>BF8+BF13</f>
        <v/>
      </c>
      <c r="BG14" s="59">
        <f>BG8+BG13</f>
        <v/>
      </c>
      <c r="BH14" s="59">
        <f>BH8+BH13</f>
        <v/>
      </c>
      <c r="BI14" s="59">
        <f>BI8+BI13</f>
        <v/>
      </c>
      <c r="BJ14" s="59">
        <f>BJ8+BJ13</f>
        <v/>
      </c>
      <c r="BK14" s="59">
        <f>BK8+BK13</f>
        <v/>
      </c>
    </row>
    <row r="15">
      <c r="A15" s="34" t="inlineStr">
        <is>
          <t>Carga de GPU equivalente (usuários-mês) — pagantes + degustação Starter</t>
        </is>
      </c>
      <c r="D15" s="34">
        <f>D13+D6*(Premissas!$F$38/30)</f>
        <v/>
      </c>
      <c r="E15" s="34">
        <f>E13+E6*(Premissas!$F$38/30)</f>
        <v/>
      </c>
      <c r="F15" s="34">
        <f>F13+F6*(Premissas!$F$38/30)</f>
        <v/>
      </c>
      <c r="G15" s="34">
        <f>G13+G6*(Premissas!$F$38/30)</f>
        <v/>
      </c>
      <c r="H15" s="34">
        <f>H13+H6*(Premissas!$F$38/30)</f>
        <v/>
      </c>
      <c r="I15" s="34">
        <f>I13+I6*(Premissas!$F$38/30)</f>
        <v/>
      </c>
      <c r="J15" s="34">
        <f>J13+J6*(Premissas!$F$38/30)</f>
        <v/>
      </c>
      <c r="K15" s="34">
        <f>K13+K6*(Premissas!$F$38/30)</f>
        <v/>
      </c>
      <c r="L15" s="34">
        <f>L13+L6*(Premissas!$F$38/30)</f>
        <v/>
      </c>
      <c r="M15" s="34">
        <f>M13+M6*(Premissas!$F$38/30)</f>
        <v/>
      </c>
      <c r="N15" s="34">
        <f>N13+N6*(Premissas!$F$38/30)</f>
        <v/>
      </c>
      <c r="O15" s="34">
        <f>O13+O6*(Premissas!$F$38/30)</f>
        <v/>
      </c>
      <c r="P15" s="34">
        <f>P13+P6*(Premissas!$F$38/30)</f>
        <v/>
      </c>
      <c r="Q15" s="34">
        <f>Q13+Q6*(Premissas!$F$38/30)</f>
        <v/>
      </c>
      <c r="R15" s="34">
        <f>R13+R6*(Premissas!$F$38/30)</f>
        <v/>
      </c>
      <c r="S15" s="34">
        <f>S13+S6*(Premissas!$F$38/30)</f>
        <v/>
      </c>
      <c r="T15" s="34">
        <f>T13+T6*(Premissas!$F$38/30)</f>
        <v/>
      </c>
      <c r="U15" s="34">
        <f>U13+U6*(Premissas!$F$38/30)</f>
        <v/>
      </c>
      <c r="V15" s="34">
        <f>V13+V6*(Premissas!$F$38/30)</f>
        <v/>
      </c>
      <c r="W15" s="34">
        <f>W13+W6*(Premissas!$F$38/30)</f>
        <v/>
      </c>
      <c r="X15" s="34">
        <f>X13+X6*(Premissas!$F$38/30)</f>
        <v/>
      </c>
      <c r="Y15" s="34">
        <f>Y13+Y6*(Premissas!$F$38/30)</f>
        <v/>
      </c>
      <c r="Z15" s="34">
        <f>Z13+Z6*(Premissas!$F$38/30)</f>
        <v/>
      </c>
      <c r="AA15" s="34">
        <f>AA13+AA6*(Premissas!$F$38/30)</f>
        <v/>
      </c>
      <c r="AB15" s="34">
        <f>AB13+AB6*(Premissas!$F$38/30)</f>
        <v/>
      </c>
      <c r="AC15" s="34">
        <f>AC13+AC6*(Premissas!$F$38/30)</f>
        <v/>
      </c>
      <c r="AD15" s="34">
        <f>AD13+AD6*(Premissas!$F$38/30)</f>
        <v/>
      </c>
      <c r="AE15" s="34">
        <f>AE13+AE6*(Premissas!$F$38/30)</f>
        <v/>
      </c>
      <c r="AF15" s="34">
        <f>AF13+AF6*(Premissas!$F$38/30)</f>
        <v/>
      </c>
      <c r="AG15" s="34">
        <f>AG13+AG6*(Premissas!$F$38/30)</f>
        <v/>
      </c>
      <c r="AH15" s="34">
        <f>AH13+AH6*(Premissas!$F$38/30)</f>
        <v/>
      </c>
      <c r="AI15" s="34">
        <f>AI13+AI6*(Premissas!$F$38/30)</f>
        <v/>
      </c>
      <c r="AJ15" s="34">
        <f>AJ13+AJ6*(Premissas!$F$38/30)</f>
        <v/>
      </c>
      <c r="AK15" s="34">
        <f>AK13+AK6*(Premissas!$F$38/30)</f>
        <v/>
      </c>
      <c r="AL15" s="34">
        <f>AL13+AL6*(Premissas!$F$38/30)</f>
        <v/>
      </c>
      <c r="AM15" s="34">
        <f>AM13+AM6*(Premissas!$F$38/30)</f>
        <v/>
      </c>
      <c r="AN15" s="34">
        <f>AN13+AN6*(Premissas!$F$38/30)</f>
        <v/>
      </c>
      <c r="AO15" s="34">
        <f>AO13+AO6*(Premissas!$F$38/30)</f>
        <v/>
      </c>
      <c r="AP15" s="34">
        <f>AP13+AP6*(Premissas!$F$38/30)</f>
        <v/>
      </c>
      <c r="AQ15" s="34">
        <f>AQ13+AQ6*(Premissas!$F$38/30)</f>
        <v/>
      </c>
      <c r="AR15" s="34">
        <f>AR13+AR6*(Premissas!$F$38/30)</f>
        <v/>
      </c>
      <c r="AS15" s="34">
        <f>AS13+AS6*(Premissas!$F$38/30)</f>
        <v/>
      </c>
      <c r="AT15" s="34">
        <f>AT13+AT6*(Premissas!$F$38/30)</f>
        <v/>
      </c>
      <c r="AU15" s="34">
        <f>AU13+AU6*(Premissas!$F$38/30)</f>
        <v/>
      </c>
      <c r="AV15" s="34">
        <f>AV13+AV6*(Premissas!$F$38/30)</f>
        <v/>
      </c>
      <c r="AW15" s="34">
        <f>AW13+AW6*(Premissas!$F$38/30)</f>
        <v/>
      </c>
      <c r="AX15" s="34">
        <f>AX13+AX6*(Premissas!$F$38/30)</f>
        <v/>
      </c>
      <c r="AY15" s="34">
        <f>AY13+AY6*(Premissas!$F$38/30)</f>
        <v/>
      </c>
      <c r="AZ15" s="34">
        <f>AZ13+AZ6*(Premissas!$F$38/30)</f>
        <v/>
      </c>
      <c r="BA15" s="34">
        <f>BA13+BA6*(Premissas!$F$38/30)</f>
        <v/>
      </c>
      <c r="BB15" s="34">
        <f>BB13+BB6*(Premissas!$F$38/30)</f>
        <v/>
      </c>
      <c r="BC15" s="34">
        <f>BC13+BC6*(Premissas!$F$38/30)</f>
        <v/>
      </c>
      <c r="BD15" s="34">
        <f>BD13+BD6*(Premissas!$F$38/30)</f>
        <v/>
      </c>
      <c r="BE15" s="34">
        <f>BE13+BE6*(Premissas!$F$38/30)</f>
        <v/>
      </c>
      <c r="BF15" s="34">
        <f>BF13+BF6*(Premissas!$F$38/30)</f>
        <v/>
      </c>
      <c r="BG15" s="34">
        <f>BG13+BG6*(Premissas!$F$38/30)</f>
        <v/>
      </c>
      <c r="BH15" s="34">
        <f>BH13+BH6*(Premissas!$F$38/30)</f>
        <v/>
      </c>
      <c r="BI15" s="34">
        <f>BI13+BI6*(Premissas!$F$38/30)</f>
        <v/>
      </c>
      <c r="BJ15" s="34">
        <f>BJ13+BJ6*(Premissas!$F$38/30)</f>
        <v/>
      </c>
      <c r="BK15" s="34">
        <f>BK13+BK6*(Premissas!$F$38/30)</f>
        <v/>
      </c>
    </row>
    <row r="16" ht="15" customHeight="1" s="35">
      <c r="A16" s="46" t="inlineStr">
        <is>
          <t>── RECEITA ──</t>
        </is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</row>
    <row r="17" ht="15" customHeight="1" s="35">
      <c r="A17" s="43" t="inlineStr">
        <is>
          <t>Receita mensalidade Node: Pro (R$)</t>
        </is>
      </c>
      <c r="B17" s="53" t="inlineStr">
        <is>
          <t>R$</t>
        </is>
      </c>
      <c r="C17" s="58" t="n">
        <v>0</v>
      </c>
      <c r="D17" s="58">
        <f>D11*Premissas!$F$5</f>
        <v/>
      </c>
      <c r="E17" s="58">
        <f>E11*Premissas!$F$5</f>
        <v/>
      </c>
      <c r="F17" s="58">
        <f>F11*Premissas!$F$5</f>
        <v/>
      </c>
      <c r="G17" s="58">
        <f>G11*Premissas!$F$5</f>
        <v/>
      </c>
      <c r="H17" s="58">
        <f>H11*Premissas!$F$5</f>
        <v/>
      </c>
      <c r="I17" s="58">
        <f>I11*Premissas!$F$5</f>
        <v/>
      </c>
      <c r="J17" s="58">
        <f>J11*Premissas!$F$5</f>
        <v/>
      </c>
      <c r="K17" s="58">
        <f>K11*Premissas!$F$5</f>
        <v/>
      </c>
      <c r="L17" s="58">
        <f>L11*Premissas!$F$5</f>
        <v/>
      </c>
      <c r="M17" s="58">
        <f>M11*Premissas!$F$5</f>
        <v/>
      </c>
      <c r="N17" s="58">
        <f>N11*Premissas!$F$5</f>
        <v/>
      </c>
      <c r="O17" s="58">
        <f>O11*Premissas!$F$5</f>
        <v/>
      </c>
      <c r="P17" s="58">
        <f>P11*Premissas!$F$5</f>
        <v/>
      </c>
      <c r="Q17" s="58">
        <f>Q11*Premissas!$F$5</f>
        <v/>
      </c>
      <c r="R17" s="58">
        <f>R11*Premissas!$F$5</f>
        <v/>
      </c>
      <c r="S17" s="58">
        <f>S11*Premissas!$F$5</f>
        <v/>
      </c>
      <c r="T17" s="58">
        <f>T11*Premissas!$F$5</f>
        <v/>
      </c>
      <c r="U17" s="58">
        <f>U11*Premissas!$F$5</f>
        <v/>
      </c>
      <c r="V17" s="58">
        <f>V11*Premissas!$F$5</f>
        <v/>
      </c>
      <c r="W17" s="58">
        <f>W11*Premissas!$F$5</f>
        <v/>
      </c>
      <c r="X17" s="58">
        <f>X11*Premissas!$F$5</f>
        <v/>
      </c>
      <c r="Y17" s="58">
        <f>Y11*Premissas!$F$5</f>
        <v/>
      </c>
      <c r="Z17" s="58">
        <f>Z11*Premissas!$F$5</f>
        <v/>
      </c>
      <c r="AA17" s="58">
        <f>AA11*Premissas!$F$5</f>
        <v/>
      </c>
      <c r="AB17" s="58">
        <f>AB11*Premissas!$F$5</f>
        <v/>
      </c>
      <c r="AC17" s="58">
        <f>AC11*Premissas!$F$5</f>
        <v/>
      </c>
      <c r="AD17" s="58">
        <f>AD11*Premissas!$F$5</f>
        <v/>
      </c>
      <c r="AE17" s="58">
        <f>AE11*Premissas!$F$5</f>
        <v/>
      </c>
      <c r="AF17" s="58">
        <f>AF11*Premissas!$F$5</f>
        <v/>
      </c>
      <c r="AG17" s="58">
        <f>AG11*Premissas!$F$5</f>
        <v/>
      </c>
      <c r="AH17" s="58">
        <f>AH11*Premissas!$F$5</f>
        <v/>
      </c>
      <c r="AI17" s="58">
        <f>AI11*Premissas!$F$5</f>
        <v/>
      </c>
      <c r="AJ17" s="58">
        <f>AJ11*Premissas!$F$5</f>
        <v/>
      </c>
      <c r="AK17" s="58">
        <f>AK11*Premissas!$F$5</f>
        <v/>
      </c>
      <c r="AL17" s="58">
        <f>AL11*Premissas!$F$5</f>
        <v/>
      </c>
      <c r="AM17" s="58">
        <f>AM11*Premissas!$F$5</f>
        <v/>
      </c>
      <c r="AN17" s="58">
        <f>AN11*Premissas!$F$5</f>
        <v/>
      </c>
      <c r="AO17" s="58">
        <f>AO11*Premissas!$F$5</f>
        <v/>
      </c>
      <c r="AP17" s="58">
        <f>AP11*Premissas!$F$5</f>
        <v/>
      </c>
      <c r="AQ17" s="58">
        <f>AQ11*Premissas!$F$5</f>
        <v/>
      </c>
      <c r="AR17" s="58">
        <f>AR11*Premissas!$F$5</f>
        <v/>
      </c>
      <c r="AS17" s="58">
        <f>AS11*Premissas!$F$5</f>
        <v/>
      </c>
      <c r="AT17" s="58">
        <f>AT11*Premissas!$F$5</f>
        <v/>
      </c>
      <c r="AU17" s="58">
        <f>AU11*Premissas!$F$5</f>
        <v/>
      </c>
      <c r="AV17" s="58">
        <f>AV11*Premissas!$F$5</f>
        <v/>
      </c>
      <c r="AW17" s="58">
        <f>AW11*Premissas!$F$5</f>
        <v/>
      </c>
      <c r="AX17" s="58">
        <f>AX11*Premissas!$F$5</f>
        <v/>
      </c>
      <c r="AY17" s="58">
        <f>AY11*Premissas!$F$5</f>
        <v/>
      </c>
      <c r="AZ17" s="58">
        <f>AZ11*Premissas!$F$5</f>
        <v/>
      </c>
      <c r="BA17" s="58">
        <f>BA11*Premissas!$F$5</f>
        <v/>
      </c>
      <c r="BB17" s="58">
        <f>BB11*Premissas!$F$5</f>
        <v/>
      </c>
      <c r="BC17" s="58">
        <f>BC11*Premissas!$F$5</f>
        <v/>
      </c>
      <c r="BD17" s="58">
        <f>BD11*Premissas!$F$5</f>
        <v/>
      </c>
      <c r="BE17" s="58">
        <f>BE11*Premissas!$F$5</f>
        <v/>
      </c>
      <c r="BF17" s="58">
        <f>BF11*Premissas!$F$5</f>
        <v/>
      </c>
      <c r="BG17" s="58">
        <f>BG11*Premissas!$F$5</f>
        <v/>
      </c>
      <c r="BH17" s="58">
        <f>BH11*Premissas!$F$5</f>
        <v/>
      </c>
      <c r="BI17" s="58">
        <f>BI11*Premissas!$F$5</f>
        <v/>
      </c>
      <c r="BJ17" s="58">
        <f>BJ11*Premissas!$F$5</f>
        <v/>
      </c>
      <c r="BK17" s="58">
        <f>BK11*Premissas!$F$5</f>
        <v/>
      </c>
    </row>
    <row r="18" ht="15" customHeight="1" s="35">
      <c r="A18" s="43" t="inlineStr">
        <is>
          <t>Receita mensalidade Node: Institutional (R$)</t>
        </is>
      </c>
      <c r="B18" s="53" t="inlineStr">
        <is>
          <t>R$</t>
        </is>
      </c>
      <c r="C18" s="58" t="n">
        <v>0</v>
      </c>
      <c r="D18" s="58">
        <f>D12*Premissas!$F$6</f>
        <v/>
      </c>
      <c r="E18" s="58">
        <f>E12*Premissas!$F$6</f>
        <v/>
      </c>
      <c r="F18" s="58">
        <f>F12*Premissas!$F$6</f>
        <v/>
      </c>
      <c r="G18" s="58">
        <f>G12*Premissas!$F$6</f>
        <v/>
      </c>
      <c r="H18" s="58">
        <f>H12*Premissas!$F$6</f>
        <v/>
      </c>
      <c r="I18" s="58">
        <f>I12*Premissas!$F$6</f>
        <v/>
      </c>
      <c r="J18" s="58">
        <f>J12*Premissas!$F$6</f>
        <v/>
      </c>
      <c r="K18" s="58">
        <f>K12*Premissas!$F$6</f>
        <v/>
      </c>
      <c r="L18" s="58">
        <f>L12*Premissas!$F$6</f>
        <v/>
      </c>
      <c r="M18" s="58">
        <f>M12*Premissas!$F$6</f>
        <v/>
      </c>
      <c r="N18" s="58">
        <f>N12*Premissas!$F$6</f>
        <v/>
      </c>
      <c r="O18" s="58">
        <f>O12*Premissas!$F$6</f>
        <v/>
      </c>
      <c r="P18" s="58">
        <f>P12*Premissas!$F$6</f>
        <v/>
      </c>
      <c r="Q18" s="58">
        <f>Q12*Premissas!$F$6</f>
        <v/>
      </c>
      <c r="R18" s="58">
        <f>R12*Premissas!$F$6</f>
        <v/>
      </c>
      <c r="S18" s="58">
        <f>S12*Premissas!$F$6</f>
        <v/>
      </c>
      <c r="T18" s="58">
        <f>T12*Premissas!$F$6</f>
        <v/>
      </c>
      <c r="U18" s="58">
        <f>U12*Premissas!$F$6</f>
        <v/>
      </c>
      <c r="V18" s="58">
        <f>V12*Premissas!$F$6</f>
        <v/>
      </c>
      <c r="W18" s="58">
        <f>W12*Premissas!$F$6</f>
        <v/>
      </c>
      <c r="X18" s="58">
        <f>X12*Premissas!$F$6</f>
        <v/>
      </c>
      <c r="Y18" s="58">
        <f>Y12*Premissas!$F$6</f>
        <v/>
      </c>
      <c r="Z18" s="58">
        <f>Z12*Premissas!$F$6</f>
        <v/>
      </c>
      <c r="AA18" s="58">
        <f>AA12*Premissas!$F$6</f>
        <v/>
      </c>
      <c r="AB18" s="58">
        <f>AB12*Premissas!$F$6</f>
        <v/>
      </c>
      <c r="AC18" s="58">
        <f>AC12*Premissas!$F$6</f>
        <v/>
      </c>
      <c r="AD18" s="58">
        <f>AD12*Premissas!$F$6</f>
        <v/>
      </c>
      <c r="AE18" s="58">
        <f>AE12*Premissas!$F$6</f>
        <v/>
      </c>
      <c r="AF18" s="58">
        <f>AF12*Premissas!$F$6</f>
        <v/>
      </c>
      <c r="AG18" s="58">
        <f>AG12*Premissas!$F$6</f>
        <v/>
      </c>
      <c r="AH18" s="58">
        <f>AH12*Premissas!$F$6</f>
        <v/>
      </c>
      <c r="AI18" s="58">
        <f>AI12*Premissas!$F$6</f>
        <v/>
      </c>
      <c r="AJ18" s="58">
        <f>AJ12*Premissas!$F$6</f>
        <v/>
      </c>
      <c r="AK18" s="58">
        <f>AK12*Premissas!$F$6</f>
        <v/>
      </c>
      <c r="AL18" s="58">
        <f>AL12*Premissas!$F$6</f>
        <v/>
      </c>
      <c r="AM18" s="58">
        <f>AM12*Premissas!$F$6</f>
        <v/>
      </c>
      <c r="AN18" s="58">
        <f>AN12*Premissas!$F$6</f>
        <v/>
      </c>
      <c r="AO18" s="58">
        <f>AO12*Premissas!$F$6</f>
        <v/>
      </c>
      <c r="AP18" s="58">
        <f>AP12*Premissas!$F$6</f>
        <v/>
      </c>
      <c r="AQ18" s="58">
        <f>AQ12*Premissas!$F$6</f>
        <v/>
      </c>
      <c r="AR18" s="58">
        <f>AR12*Premissas!$F$6</f>
        <v/>
      </c>
      <c r="AS18" s="58">
        <f>AS12*Premissas!$F$6</f>
        <v/>
      </c>
      <c r="AT18" s="58">
        <f>AT12*Premissas!$F$6</f>
        <v/>
      </c>
      <c r="AU18" s="58">
        <f>AU12*Premissas!$F$6</f>
        <v/>
      </c>
      <c r="AV18" s="58">
        <f>AV12*Premissas!$F$6</f>
        <v/>
      </c>
      <c r="AW18" s="58">
        <f>AW12*Premissas!$F$6</f>
        <v/>
      </c>
      <c r="AX18" s="58">
        <f>AX12*Premissas!$F$6</f>
        <v/>
      </c>
      <c r="AY18" s="58">
        <f>AY12*Premissas!$F$6</f>
        <v/>
      </c>
      <c r="AZ18" s="58">
        <f>AZ12*Premissas!$F$6</f>
        <v/>
      </c>
      <c r="BA18" s="58">
        <f>BA12*Premissas!$F$6</f>
        <v/>
      </c>
      <c r="BB18" s="58">
        <f>BB12*Premissas!$F$6</f>
        <v/>
      </c>
      <c r="BC18" s="58">
        <f>BC12*Premissas!$F$6</f>
        <v/>
      </c>
      <c r="BD18" s="58">
        <f>BD12*Premissas!$F$6</f>
        <v/>
      </c>
      <c r="BE18" s="58">
        <f>BE12*Premissas!$F$6</f>
        <v/>
      </c>
      <c r="BF18" s="58">
        <f>BF12*Premissas!$F$6</f>
        <v/>
      </c>
      <c r="BG18" s="58">
        <f>BG12*Premissas!$F$6</f>
        <v/>
      </c>
      <c r="BH18" s="58">
        <f>BH12*Premissas!$F$6</f>
        <v/>
      </c>
      <c r="BI18" s="58">
        <f>BI12*Premissas!$F$6</f>
        <v/>
      </c>
      <c r="BJ18" s="58">
        <f>BJ12*Premissas!$F$6</f>
        <v/>
      </c>
      <c r="BK18" s="58">
        <f>BK12*Premissas!$F$6</f>
        <v/>
      </c>
    </row>
    <row r="19" ht="15" customHeight="1" s="35">
      <c r="A19" s="43" t="inlineStr">
        <is>
          <t>Lotes negociados no mês — Pro+Institutional (lotes)</t>
        </is>
      </c>
      <c r="B19" s="53" t="inlineStr">
        <is>
          <t>lotes</t>
        </is>
      </c>
      <c r="C19" s="60" t="n">
        <v>0</v>
      </c>
      <c r="D19" s="60">
        <f>D13*Premissas!$F$18</f>
        <v/>
      </c>
      <c r="E19" s="60">
        <f>E13*Premissas!$F$18</f>
        <v/>
      </c>
      <c r="F19" s="60">
        <f>F13*Premissas!$F$18</f>
        <v/>
      </c>
      <c r="G19" s="60">
        <f>G13*Premissas!$F$18</f>
        <v/>
      </c>
      <c r="H19" s="60">
        <f>H13*Premissas!$F$18</f>
        <v/>
      </c>
      <c r="I19" s="60">
        <f>I13*Premissas!$F$18</f>
        <v/>
      </c>
      <c r="J19" s="60">
        <f>J13*Premissas!$F$18</f>
        <v/>
      </c>
      <c r="K19" s="60">
        <f>K13*Premissas!$F$18</f>
        <v/>
      </c>
      <c r="L19" s="60">
        <f>L13*Premissas!$F$18</f>
        <v/>
      </c>
      <c r="M19" s="60">
        <f>M13*Premissas!$F$18</f>
        <v/>
      </c>
      <c r="N19" s="60">
        <f>N13*Premissas!$F$18</f>
        <v/>
      </c>
      <c r="O19" s="60">
        <f>O13*Premissas!$F$18</f>
        <v/>
      </c>
      <c r="P19" s="60">
        <f>P13*Premissas!$F$18</f>
        <v/>
      </c>
      <c r="Q19" s="60">
        <f>Q13*Premissas!$F$18</f>
        <v/>
      </c>
      <c r="R19" s="60">
        <f>R13*Premissas!$F$18</f>
        <v/>
      </c>
      <c r="S19" s="60">
        <f>S13*Premissas!$F$18</f>
        <v/>
      </c>
      <c r="T19" s="60">
        <f>T13*Premissas!$F$18</f>
        <v/>
      </c>
      <c r="U19" s="60">
        <f>U13*Premissas!$F$18</f>
        <v/>
      </c>
      <c r="V19" s="60">
        <f>V13*Premissas!$F$18</f>
        <v/>
      </c>
      <c r="W19" s="60">
        <f>W13*Premissas!$F$18</f>
        <v/>
      </c>
      <c r="X19" s="60">
        <f>X13*Premissas!$F$18</f>
        <v/>
      </c>
      <c r="Y19" s="60">
        <f>Y13*Premissas!$F$18</f>
        <v/>
      </c>
      <c r="Z19" s="60">
        <f>Z13*Premissas!$F$18</f>
        <v/>
      </c>
      <c r="AA19" s="60">
        <f>AA13*Premissas!$F$18</f>
        <v/>
      </c>
      <c r="AB19" s="60">
        <f>AB13*Premissas!$F$18</f>
        <v/>
      </c>
      <c r="AC19" s="60">
        <f>AC13*Premissas!$F$18</f>
        <v/>
      </c>
      <c r="AD19" s="60">
        <f>AD13*Premissas!$F$18</f>
        <v/>
      </c>
      <c r="AE19" s="60">
        <f>AE13*Premissas!$F$18</f>
        <v/>
      </c>
      <c r="AF19" s="60">
        <f>AF13*Premissas!$F$18</f>
        <v/>
      </c>
      <c r="AG19" s="60">
        <f>AG13*Premissas!$F$18</f>
        <v/>
      </c>
      <c r="AH19" s="60">
        <f>AH13*Premissas!$F$18</f>
        <v/>
      </c>
      <c r="AI19" s="60">
        <f>AI13*Premissas!$F$18</f>
        <v/>
      </c>
      <c r="AJ19" s="60">
        <f>AJ13*Premissas!$F$18</f>
        <v/>
      </c>
      <c r="AK19" s="60">
        <f>AK13*Premissas!$F$18</f>
        <v/>
      </c>
      <c r="AL19" s="60">
        <f>AL13*Premissas!$F$18</f>
        <v/>
      </c>
      <c r="AM19" s="60">
        <f>AM13*Premissas!$F$18</f>
        <v/>
      </c>
      <c r="AN19" s="60">
        <f>AN13*Premissas!$F$18</f>
        <v/>
      </c>
      <c r="AO19" s="60">
        <f>AO13*Premissas!$F$18</f>
        <v/>
      </c>
      <c r="AP19" s="60">
        <f>AP13*Premissas!$F$18</f>
        <v/>
      </c>
      <c r="AQ19" s="60">
        <f>AQ13*Premissas!$F$18</f>
        <v/>
      </c>
      <c r="AR19" s="60">
        <f>AR13*Premissas!$F$18</f>
        <v/>
      </c>
      <c r="AS19" s="60">
        <f>AS13*Premissas!$F$18</f>
        <v/>
      </c>
      <c r="AT19" s="60">
        <f>AT13*Premissas!$F$18</f>
        <v/>
      </c>
      <c r="AU19" s="60">
        <f>AU13*Premissas!$F$18</f>
        <v/>
      </c>
      <c r="AV19" s="60">
        <f>AV13*Premissas!$F$18</f>
        <v/>
      </c>
      <c r="AW19" s="60">
        <f>AW13*Premissas!$F$18</f>
        <v/>
      </c>
      <c r="AX19" s="60">
        <f>AX13*Premissas!$F$18</f>
        <v/>
      </c>
      <c r="AY19" s="60">
        <f>AY13*Premissas!$F$18</f>
        <v/>
      </c>
      <c r="AZ19" s="60">
        <f>AZ13*Premissas!$F$18</f>
        <v/>
      </c>
      <c r="BA19" s="60">
        <f>BA13*Premissas!$F$18</f>
        <v/>
      </c>
      <c r="BB19" s="60">
        <f>BB13*Premissas!$F$18</f>
        <v/>
      </c>
      <c r="BC19" s="60">
        <f>BC13*Premissas!$F$18</f>
        <v/>
      </c>
      <c r="BD19" s="60">
        <f>BD13*Premissas!$F$18</f>
        <v/>
      </c>
      <c r="BE19" s="60">
        <f>BE13*Premissas!$F$18</f>
        <v/>
      </c>
      <c r="BF19" s="60">
        <f>BF13*Premissas!$F$18</f>
        <v/>
      </c>
      <c r="BG19" s="60">
        <f>BG13*Premissas!$F$18</f>
        <v/>
      </c>
      <c r="BH19" s="60">
        <f>BH13*Premissas!$F$18</f>
        <v/>
      </c>
      <c r="BI19" s="60">
        <f>BI13*Premissas!$F$18</f>
        <v/>
      </c>
      <c r="BJ19" s="60">
        <f>BJ13*Premissas!$F$18</f>
        <v/>
      </c>
      <c r="BK19" s="60">
        <f>BK13*Premissas!$F$18</f>
        <v/>
      </c>
    </row>
    <row r="20" ht="15" customHeight="1" s="35">
      <c r="A20" s="43" t="inlineStr">
        <is>
          <t>Lotes negociados no mês — Starter (lotes)</t>
        </is>
      </c>
      <c r="B20" s="53" t="inlineStr">
        <is>
          <t>lotes</t>
        </is>
      </c>
      <c r="C20" s="60" t="n">
        <v>0</v>
      </c>
      <c r="D20" s="60">
        <f>D6*Premissas!$F$19</f>
        <v/>
      </c>
      <c r="E20" s="60">
        <f>E6*Premissas!$F$19</f>
        <v/>
      </c>
      <c r="F20" s="60">
        <f>F6*Premissas!$F$19</f>
        <v/>
      </c>
      <c r="G20" s="60">
        <f>G6*Premissas!$F$19</f>
        <v/>
      </c>
      <c r="H20" s="60">
        <f>H6*Premissas!$F$19</f>
        <v/>
      </c>
      <c r="I20" s="60">
        <f>I6*Premissas!$F$19</f>
        <v/>
      </c>
      <c r="J20" s="60">
        <f>J6*Premissas!$F$19</f>
        <v/>
      </c>
      <c r="K20" s="60">
        <f>K6*Premissas!$F$19</f>
        <v/>
      </c>
      <c r="L20" s="60">
        <f>L6*Premissas!$F$19</f>
        <v/>
      </c>
      <c r="M20" s="60">
        <f>M6*Premissas!$F$19</f>
        <v/>
      </c>
      <c r="N20" s="60">
        <f>N6*Premissas!$F$19</f>
        <v/>
      </c>
      <c r="O20" s="60">
        <f>O6*Premissas!$F$19</f>
        <v/>
      </c>
      <c r="P20" s="60">
        <f>P6*Premissas!$F$19</f>
        <v/>
      </c>
      <c r="Q20" s="60">
        <f>Q6*Premissas!$F$19</f>
        <v/>
      </c>
      <c r="R20" s="60">
        <f>R6*Premissas!$F$19</f>
        <v/>
      </c>
      <c r="S20" s="60">
        <f>S6*Premissas!$F$19</f>
        <v/>
      </c>
      <c r="T20" s="60">
        <f>T6*Premissas!$F$19</f>
        <v/>
      </c>
      <c r="U20" s="60">
        <f>U6*Premissas!$F$19</f>
        <v/>
      </c>
      <c r="V20" s="60">
        <f>V6*Premissas!$F$19</f>
        <v/>
      </c>
      <c r="W20" s="60">
        <f>W6*Premissas!$F$19</f>
        <v/>
      </c>
      <c r="X20" s="60">
        <f>X6*Premissas!$F$19</f>
        <v/>
      </c>
      <c r="Y20" s="60">
        <f>Y6*Premissas!$F$19</f>
        <v/>
      </c>
      <c r="Z20" s="60">
        <f>Z6*Premissas!$F$19</f>
        <v/>
      </c>
      <c r="AA20" s="60">
        <f>AA6*Premissas!$F$19</f>
        <v/>
      </c>
      <c r="AB20" s="60">
        <f>AB6*Premissas!$F$19</f>
        <v/>
      </c>
      <c r="AC20" s="60">
        <f>AC6*Premissas!$F$19</f>
        <v/>
      </c>
      <c r="AD20" s="60">
        <f>AD6*Premissas!$F$19</f>
        <v/>
      </c>
      <c r="AE20" s="60">
        <f>AE6*Premissas!$F$19</f>
        <v/>
      </c>
      <c r="AF20" s="60">
        <f>AF6*Premissas!$F$19</f>
        <v/>
      </c>
      <c r="AG20" s="60">
        <f>AG6*Premissas!$F$19</f>
        <v/>
      </c>
      <c r="AH20" s="60">
        <f>AH6*Premissas!$F$19</f>
        <v/>
      </c>
      <c r="AI20" s="60">
        <f>AI6*Premissas!$F$19</f>
        <v/>
      </c>
      <c r="AJ20" s="60">
        <f>AJ6*Premissas!$F$19</f>
        <v/>
      </c>
      <c r="AK20" s="60">
        <f>AK6*Premissas!$F$19</f>
        <v/>
      </c>
      <c r="AL20" s="60">
        <f>AL6*Premissas!$F$19</f>
        <v/>
      </c>
      <c r="AM20" s="60">
        <f>AM6*Premissas!$F$19</f>
        <v/>
      </c>
      <c r="AN20" s="60">
        <f>AN6*Premissas!$F$19</f>
        <v/>
      </c>
      <c r="AO20" s="60">
        <f>AO6*Premissas!$F$19</f>
        <v/>
      </c>
      <c r="AP20" s="60">
        <f>AP6*Premissas!$F$19</f>
        <v/>
      </c>
      <c r="AQ20" s="60">
        <f>AQ6*Premissas!$F$19</f>
        <v/>
      </c>
      <c r="AR20" s="60">
        <f>AR6*Premissas!$F$19</f>
        <v/>
      </c>
      <c r="AS20" s="60">
        <f>AS6*Premissas!$F$19</f>
        <v/>
      </c>
      <c r="AT20" s="60">
        <f>AT6*Premissas!$F$19</f>
        <v/>
      </c>
      <c r="AU20" s="60">
        <f>AU6*Premissas!$F$19</f>
        <v/>
      </c>
      <c r="AV20" s="60">
        <f>AV6*Premissas!$F$19</f>
        <v/>
      </c>
      <c r="AW20" s="60">
        <f>AW6*Premissas!$F$19</f>
        <v/>
      </c>
      <c r="AX20" s="60">
        <f>AX6*Premissas!$F$19</f>
        <v/>
      </c>
      <c r="AY20" s="60">
        <f>AY6*Premissas!$F$19</f>
        <v/>
      </c>
      <c r="AZ20" s="60">
        <f>AZ6*Premissas!$F$19</f>
        <v/>
      </c>
      <c r="BA20" s="60">
        <f>BA6*Premissas!$F$19</f>
        <v/>
      </c>
      <c r="BB20" s="60">
        <f>BB6*Premissas!$F$19</f>
        <v/>
      </c>
      <c r="BC20" s="60">
        <f>BC6*Premissas!$F$19</f>
        <v/>
      </c>
      <c r="BD20" s="60">
        <f>BD6*Premissas!$F$19</f>
        <v/>
      </c>
      <c r="BE20" s="60">
        <f>BE6*Premissas!$F$19</f>
        <v/>
      </c>
      <c r="BF20" s="60">
        <f>BF6*Premissas!$F$19</f>
        <v/>
      </c>
      <c r="BG20" s="60">
        <f>BG6*Premissas!$F$19</f>
        <v/>
      </c>
      <c r="BH20" s="60">
        <f>BH6*Premissas!$F$19</f>
        <v/>
      </c>
      <c r="BI20" s="60">
        <f>BI6*Premissas!$F$19</f>
        <v/>
      </c>
      <c r="BJ20" s="60">
        <f>BJ6*Premissas!$F$19</f>
        <v/>
      </c>
      <c r="BK20" s="60">
        <f>BK6*Premissas!$F$19</f>
        <v/>
      </c>
    </row>
    <row r="21" ht="15" customHeight="1" s="35">
      <c r="A21" s="43" t="inlineStr">
        <is>
          <t>Receita comissão própria — só sobre volume Starter (R$)</t>
        </is>
      </c>
      <c r="B21" s="53" t="inlineStr">
        <is>
          <t>R$</t>
        </is>
      </c>
      <c r="C21" s="58" t="n">
        <v>0</v>
      </c>
      <c r="D21" s="58">
        <f>(D19+D20)*Premissas!$F$22</f>
        <v/>
      </c>
      <c r="E21" s="58">
        <f>(E19+E20)*Premissas!$F$22</f>
        <v/>
      </c>
      <c r="F21" s="58">
        <f>(F19+F20)*Premissas!$F$22</f>
        <v/>
      </c>
      <c r="G21" s="58">
        <f>(G19+G20)*Premissas!$F$22</f>
        <v/>
      </c>
      <c r="H21" s="58">
        <f>(H19+H20)*Premissas!$F$22</f>
        <v/>
      </c>
      <c r="I21" s="58">
        <f>(I19+I20)*Premissas!$F$22</f>
        <v/>
      </c>
      <c r="J21" s="58">
        <f>(J19+J20)*Premissas!$F$22</f>
        <v/>
      </c>
      <c r="K21" s="58">
        <f>(K19+K20)*Premissas!$F$22</f>
        <v/>
      </c>
      <c r="L21" s="58">
        <f>(L19+L20)*Premissas!$F$22</f>
        <v/>
      </c>
      <c r="M21" s="58">
        <f>(M19+M20)*Premissas!$F$22</f>
        <v/>
      </c>
      <c r="N21" s="58">
        <f>(N19+N20)*Premissas!$F$22</f>
        <v/>
      </c>
      <c r="O21" s="58">
        <f>(O19+O20)*Premissas!$F$22</f>
        <v/>
      </c>
      <c r="P21" s="58">
        <f>(P19+P20)*Premissas!$F$22</f>
        <v/>
      </c>
      <c r="Q21" s="58">
        <f>(Q19+Q20)*Premissas!$F$22</f>
        <v/>
      </c>
      <c r="R21" s="58">
        <f>(R19+R20)*Premissas!$F$22</f>
        <v/>
      </c>
      <c r="S21" s="58">
        <f>(S19+S20)*Premissas!$F$22</f>
        <v/>
      </c>
      <c r="T21" s="58">
        <f>(T19+T20)*Premissas!$F$22</f>
        <v/>
      </c>
      <c r="U21" s="58">
        <f>(U19+U20)*Premissas!$F$22</f>
        <v/>
      </c>
      <c r="V21" s="58">
        <f>(V19+V20)*Premissas!$F$22</f>
        <v/>
      </c>
      <c r="W21" s="58">
        <f>(W19+W20)*Premissas!$F$22</f>
        <v/>
      </c>
      <c r="X21" s="58">
        <f>(X19+X20)*Premissas!$F$22</f>
        <v/>
      </c>
      <c r="Y21" s="58">
        <f>(Y19+Y20)*Premissas!$F$22</f>
        <v/>
      </c>
      <c r="Z21" s="58">
        <f>(Z19+Z20)*Premissas!$F$22</f>
        <v/>
      </c>
      <c r="AA21" s="58">
        <f>(AA19+AA20)*Premissas!$F$22</f>
        <v/>
      </c>
      <c r="AB21" s="58">
        <f>(AB19+AB20)*Premissas!$F$22</f>
        <v/>
      </c>
      <c r="AC21" s="58">
        <f>(AC19+AC20)*Premissas!$F$22</f>
        <v/>
      </c>
      <c r="AD21" s="58">
        <f>(AD19+AD20)*Premissas!$F$22</f>
        <v/>
      </c>
      <c r="AE21" s="58">
        <f>(AE19+AE20)*Premissas!$F$22</f>
        <v/>
      </c>
      <c r="AF21" s="58">
        <f>(AF19+AF20)*Premissas!$F$22</f>
        <v/>
      </c>
      <c r="AG21" s="58">
        <f>(AG19+AG20)*Premissas!$F$22</f>
        <v/>
      </c>
      <c r="AH21" s="58">
        <f>(AH19+AH20)*Premissas!$F$22</f>
        <v/>
      </c>
      <c r="AI21" s="58">
        <f>(AI19+AI20)*Premissas!$F$22</f>
        <v/>
      </c>
      <c r="AJ21" s="58">
        <f>(AJ19+AJ20)*Premissas!$F$22</f>
        <v/>
      </c>
      <c r="AK21" s="58">
        <f>(AK19+AK20)*Premissas!$F$22</f>
        <v/>
      </c>
      <c r="AL21" s="58">
        <f>(AL19+AL20)*Premissas!$F$22</f>
        <v/>
      </c>
      <c r="AM21" s="58">
        <f>(AM19+AM20)*Premissas!$F$22</f>
        <v/>
      </c>
      <c r="AN21" s="58">
        <f>(AN19+AN20)*Premissas!$F$22</f>
        <v/>
      </c>
      <c r="AO21" s="58">
        <f>(AO19+AO20)*Premissas!$F$22</f>
        <v/>
      </c>
      <c r="AP21" s="58">
        <f>(AP19+AP20)*Premissas!$F$22</f>
        <v/>
      </c>
      <c r="AQ21" s="58">
        <f>(AQ19+AQ20)*Premissas!$F$22</f>
        <v/>
      </c>
      <c r="AR21" s="58">
        <f>(AR19+AR20)*Premissas!$F$22</f>
        <v/>
      </c>
      <c r="AS21" s="58">
        <f>(AS19+AS20)*Premissas!$F$22</f>
        <v/>
      </c>
      <c r="AT21" s="58">
        <f>(AT19+AT20)*Premissas!$F$22</f>
        <v/>
      </c>
      <c r="AU21" s="58">
        <f>(AU19+AU20)*Premissas!$F$22</f>
        <v/>
      </c>
      <c r="AV21" s="58">
        <f>(AV19+AV20)*Premissas!$F$22</f>
        <v/>
      </c>
      <c r="AW21" s="58">
        <f>(AW19+AW20)*Premissas!$F$22</f>
        <v/>
      </c>
      <c r="AX21" s="58">
        <f>(AX19+AX20)*Premissas!$F$22</f>
        <v/>
      </c>
      <c r="AY21" s="58">
        <f>(AY19+AY20)*Premissas!$F$22</f>
        <v/>
      </c>
      <c r="AZ21" s="58">
        <f>(AZ19+AZ20)*Premissas!$F$22</f>
        <v/>
      </c>
      <c r="BA21" s="58">
        <f>(BA19+BA20)*Premissas!$F$22</f>
        <v/>
      </c>
      <c r="BB21" s="58">
        <f>(BB19+BB20)*Premissas!$F$22</f>
        <v/>
      </c>
      <c r="BC21" s="58">
        <f>(BC19+BC20)*Premissas!$F$22</f>
        <v/>
      </c>
      <c r="BD21" s="58">
        <f>(BD19+BD20)*Premissas!$F$22</f>
        <v/>
      </c>
      <c r="BE21" s="58">
        <f>(BE19+BE20)*Premissas!$F$22</f>
        <v/>
      </c>
      <c r="BF21" s="58">
        <f>(BF19+BF20)*Premissas!$F$22</f>
        <v/>
      </c>
      <c r="BG21" s="58">
        <f>(BG19+BG20)*Premissas!$F$22</f>
        <v/>
      </c>
      <c r="BH21" s="58">
        <f>(BH19+BH20)*Premissas!$F$22</f>
        <v/>
      </c>
      <c r="BI21" s="58">
        <f>(BI19+BI20)*Premissas!$F$22</f>
        <v/>
      </c>
      <c r="BJ21" s="58">
        <f>(BJ19+BJ20)*Premissas!$F$22</f>
        <v/>
      </c>
      <c r="BK21" s="58">
        <f>(BK19+BK20)*Premissas!$F$22</f>
        <v/>
      </c>
    </row>
    <row r="22" ht="15" customHeight="1" s="35">
      <c r="A22" s="43" t="inlineStr">
        <is>
          <t>Receita rebate IB — sobre todo o volume (R$)</t>
        </is>
      </c>
      <c r="B22" s="53" t="inlineStr">
        <is>
          <t>R$</t>
        </is>
      </c>
      <c r="C22" s="58" t="n">
        <v>0</v>
      </c>
      <c r="D22" s="58">
        <f>(D19+D20)*Premissas!$F$23</f>
        <v/>
      </c>
      <c r="E22" s="58">
        <f>(E19+E20)*Premissas!$F$23</f>
        <v/>
      </c>
      <c r="F22" s="58">
        <f>(F19+F20)*Premissas!$F$23</f>
        <v/>
      </c>
      <c r="G22" s="58">
        <f>(G19+G20)*Premissas!$F$23</f>
        <v/>
      </c>
      <c r="H22" s="58">
        <f>(H19+H20)*Premissas!$F$23</f>
        <v/>
      </c>
      <c r="I22" s="58">
        <f>(I19+I20)*Premissas!$F$23</f>
        <v/>
      </c>
      <c r="J22" s="58">
        <f>(J19+J20)*Premissas!$F$23</f>
        <v/>
      </c>
      <c r="K22" s="58">
        <f>(K19+K20)*Premissas!$F$23</f>
        <v/>
      </c>
      <c r="L22" s="58">
        <f>(L19+L20)*Premissas!$F$23</f>
        <v/>
      </c>
      <c r="M22" s="58">
        <f>(M19+M20)*Premissas!$F$23</f>
        <v/>
      </c>
      <c r="N22" s="58">
        <f>(N19+N20)*Premissas!$F$23</f>
        <v/>
      </c>
      <c r="O22" s="58">
        <f>(O19+O20)*Premissas!$F$23</f>
        <v/>
      </c>
      <c r="P22" s="58">
        <f>(P19+P20)*Premissas!$F$23</f>
        <v/>
      </c>
      <c r="Q22" s="58">
        <f>(Q19+Q20)*Premissas!$F$23</f>
        <v/>
      </c>
      <c r="R22" s="58">
        <f>(R19+R20)*Premissas!$F$23</f>
        <v/>
      </c>
      <c r="S22" s="58">
        <f>(S19+S20)*Premissas!$F$23</f>
        <v/>
      </c>
      <c r="T22" s="58">
        <f>(T19+T20)*Premissas!$F$23</f>
        <v/>
      </c>
      <c r="U22" s="58">
        <f>(U19+U20)*Premissas!$F$23</f>
        <v/>
      </c>
      <c r="V22" s="58">
        <f>(V19+V20)*Premissas!$F$23</f>
        <v/>
      </c>
      <c r="W22" s="58">
        <f>(W19+W20)*Premissas!$F$23</f>
        <v/>
      </c>
      <c r="X22" s="58">
        <f>(X19+X20)*Premissas!$F$23</f>
        <v/>
      </c>
      <c r="Y22" s="58">
        <f>(Y19+Y20)*Premissas!$F$23</f>
        <v/>
      </c>
      <c r="Z22" s="58">
        <f>(Z19+Z20)*Premissas!$F$23</f>
        <v/>
      </c>
      <c r="AA22" s="58">
        <f>(AA19+AA20)*Premissas!$F$23</f>
        <v/>
      </c>
      <c r="AB22" s="58">
        <f>(AB19+AB20)*Premissas!$F$23</f>
        <v/>
      </c>
      <c r="AC22" s="58">
        <f>(AC19+AC20)*Premissas!$F$23</f>
        <v/>
      </c>
      <c r="AD22" s="58">
        <f>(AD19+AD20)*Premissas!$F$23</f>
        <v/>
      </c>
      <c r="AE22" s="58">
        <f>(AE19+AE20)*Premissas!$F$23</f>
        <v/>
      </c>
      <c r="AF22" s="58">
        <f>(AF19+AF20)*Premissas!$F$23</f>
        <v/>
      </c>
      <c r="AG22" s="58">
        <f>(AG19+AG20)*Premissas!$F$23</f>
        <v/>
      </c>
      <c r="AH22" s="58">
        <f>(AH19+AH20)*Premissas!$F$23</f>
        <v/>
      </c>
      <c r="AI22" s="58">
        <f>(AI19+AI20)*Premissas!$F$23</f>
        <v/>
      </c>
      <c r="AJ22" s="58">
        <f>(AJ19+AJ20)*Premissas!$F$23</f>
        <v/>
      </c>
      <c r="AK22" s="58">
        <f>(AK19+AK20)*Premissas!$F$23</f>
        <v/>
      </c>
      <c r="AL22" s="58">
        <f>(AL19+AL20)*Premissas!$F$23</f>
        <v/>
      </c>
      <c r="AM22" s="58">
        <f>(AM19+AM20)*Premissas!$F$23</f>
        <v/>
      </c>
      <c r="AN22" s="58">
        <f>(AN19+AN20)*Premissas!$F$23</f>
        <v/>
      </c>
      <c r="AO22" s="58">
        <f>(AO19+AO20)*Premissas!$F$23</f>
        <v/>
      </c>
      <c r="AP22" s="58">
        <f>(AP19+AP20)*Premissas!$F$23</f>
        <v/>
      </c>
      <c r="AQ22" s="58">
        <f>(AQ19+AQ20)*Premissas!$F$23</f>
        <v/>
      </c>
      <c r="AR22" s="58">
        <f>(AR19+AR20)*Premissas!$F$23</f>
        <v/>
      </c>
      <c r="AS22" s="58">
        <f>(AS19+AS20)*Premissas!$F$23</f>
        <v/>
      </c>
      <c r="AT22" s="58">
        <f>(AT19+AT20)*Premissas!$F$23</f>
        <v/>
      </c>
      <c r="AU22" s="58">
        <f>(AU19+AU20)*Premissas!$F$23</f>
        <v/>
      </c>
      <c r="AV22" s="58">
        <f>(AV19+AV20)*Premissas!$F$23</f>
        <v/>
      </c>
      <c r="AW22" s="58">
        <f>(AW19+AW20)*Premissas!$F$23</f>
        <v/>
      </c>
      <c r="AX22" s="58">
        <f>(AX19+AX20)*Premissas!$F$23</f>
        <v/>
      </c>
      <c r="AY22" s="58">
        <f>(AY19+AY20)*Premissas!$F$23</f>
        <v/>
      </c>
      <c r="AZ22" s="58">
        <f>(AZ19+AZ20)*Premissas!$F$23</f>
        <v/>
      </c>
      <c r="BA22" s="58">
        <f>(BA19+BA20)*Premissas!$F$23</f>
        <v/>
      </c>
      <c r="BB22" s="58">
        <f>(BB19+BB20)*Premissas!$F$23</f>
        <v/>
      </c>
      <c r="BC22" s="58">
        <f>(BC19+BC20)*Premissas!$F$23</f>
        <v/>
      </c>
      <c r="BD22" s="58">
        <f>(BD19+BD20)*Premissas!$F$23</f>
        <v/>
      </c>
      <c r="BE22" s="58">
        <f>(BE19+BE20)*Premissas!$F$23</f>
        <v/>
      </c>
      <c r="BF22" s="58">
        <f>(BF19+BF20)*Premissas!$F$23</f>
        <v/>
      </c>
      <c r="BG22" s="58">
        <f>(BG19+BG20)*Premissas!$F$23</f>
        <v/>
      </c>
      <c r="BH22" s="58">
        <f>(BH19+BH20)*Premissas!$F$23</f>
        <v/>
      </c>
      <c r="BI22" s="58">
        <f>(BI19+BI20)*Premissas!$F$23</f>
        <v/>
      </c>
      <c r="BJ22" s="58">
        <f>(BJ19+BJ20)*Premissas!$F$23</f>
        <v/>
      </c>
      <c r="BK22" s="58">
        <f>(BK19+BK20)*Premissas!$F$23</f>
        <v/>
      </c>
    </row>
    <row r="23" ht="15" customHeight="1" s="35">
      <c r="A23" s="43" t="inlineStr">
        <is>
          <t>Receita marketplace (R$)</t>
        </is>
      </c>
      <c r="B23" s="53" t="inlineStr">
        <is>
          <t>R$</t>
        </is>
      </c>
      <c r="C23" s="58" t="n">
        <v>0</v>
      </c>
      <c r="D23" s="58">
        <f>D13*Premissas!$F$24</f>
        <v/>
      </c>
      <c r="E23" s="58">
        <f>E13*Premissas!$F$24</f>
        <v/>
      </c>
      <c r="F23" s="58">
        <f>F13*Premissas!$F$24</f>
        <v/>
      </c>
      <c r="G23" s="58">
        <f>G13*Premissas!$F$24</f>
        <v/>
      </c>
      <c r="H23" s="58">
        <f>H13*Premissas!$F$24</f>
        <v/>
      </c>
      <c r="I23" s="58">
        <f>I13*Premissas!$F$24</f>
        <v/>
      </c>
      <c r="J23" s="58">
        <f>J13*Premissas!$F$24</f>
        <v/>
      </c>
      <c r="K23" s="58">
        <f>K13*Premissas!$F$24</f>
        <v/>
      </c>
      <c r="L23" s="58">
        <f>L13*Premissas!$F$24</f>
        <v/>
      </c>
      <c r="M23" s="58">
        <f>M13*Premissas!$F$24</f>
        <v/>
      </c>
      <c r="N23" s="58">
        <f>N13*Premissas!$F$24</f>
        <v/>
      </c>
      <c r="O23" s="58">
        <f>O13*Premissas!$F$24</f>
        <v/>
      </c>
      <c r="P23" s="58">
        <f>P13*Premissas!$F$24</f>
        <v/>
      </c>
      <c r="Q23" s="58">
        <f>Q13*Premissas!$F$24</f>
        <v/>
      </c>
      <c r="R23" s="58">
        <f>R13*Premissas!$F$24</f>
        <v/>
      </c>
      <c r="S23" s="58">
        <f>S13*Premissas!$F$24</f>
        <v/>
      </c>
      <c r="T23" s="58">
        <f>T13*Premissas!$F$24</f>
        <v/>
      </c>
      <c r="U23" s="58">
        <f>U13*Premissas!$F$24</f>
        <v/>
      </c>
      <c r="V23" s="58">
        <f>V13*Premissas!$F$24</f>
        <v/>
      </c>
      <c r="W23" s="58">
        <f>W13*Premissas!$F$24</f>
        <v/>
      </c>
      <c r="X23" s="58">
        <f>X13*Premissas!$F$24</f>
        <v/>
      </c>
      <c r="Y23" s="58">
        <f>Y13*Premissas!$F$24</f>
        <v/>
      </c>
      <c r="Z23" s="58">
        <f>Z13*Premissas!$F$24</f>
        <v/>
      </c>
      <c r="AA23" s="58">
        <f>AA13*Premissas!$F$24</f>
        <v/>
      </c>
      <c r="AB23" s="58">
        <f>AB13*Premissas!$F$24</f>
        <v/>
      </c>
      <c r="AC23" s="58">
        <f>AC13*Premissas!$F$24</f>
        <v/>
      </c>
      <c r="AD23" s="58">
        <f>AD13*Premissas!$F$24</f>
        <v/>
      </c>
      <c r="AE23" s="58">
        <f>AE13*Premissas!$F$24</f>
        <v/>
      </c>
      <c r="AF23" s="58">
        <f>AF13*Premissas!$F$24</f>
        <v/>
      </c>
      <c r="AG23" s="58">
        <f>AG13*Premissas!$F$24</f>
        <v/>
      </c>
      <c r="AH23" s="58">
        <f>AH13*Premissas!$F$24</f>
        <v/>
      </c>
      <c r="AI23" s="58">
        <f>AI13*Premissas!$F$24</f>
        <v/>
      </c>
      <c r="AJ23" s="58">
        <f>AJ13*Premissas!$F$24</f>
        <v/>
      </c>
      <c r="AK23" s="58">
        <f>AK13*Premissas!$F$24</f>
        <v/>
      </c>
      <c r="AL23" s="58">
        <f>AL13*Premissas!$F$24</f>
        <v/>
      </c>
      <c r="AM23" s="58">
        <f>AM13*Premissas!$F$24</f>
        <v/>
      </c>
      <c r="AN23" s="58">
        <f>AN13*Premissas!$F$24</f>
        <v/>
      </c>
      <c r="AO23" s="58">
        <f>AO13*Premissas!$F$24</f>
        <v/>
      </c>
      <c r="AP23" s="58">
        <f>AP13*Premissas!$F$24</f>
        <v/>
      </c>
      <c r="AQ23" s="58">
        <f>AQ13*Premissas!$F$24</f>
        <v/>
      </c>
      <c r="AR23" s="58">
        <f>AR13*Premissas!$F$24</f>
        <v/>
      </c>
      <c r="AS23" s="58">
        <f>AS13*Premissas!$F$24</f>
        <v/>
      </c>
      <c r="AT23" s="58">
        <f>AT13*Premissas!$F$24</f>
        <v/>
      </c>
      <c r="AU23" s="58">
        <f>AU13*Premissas!$F$24</f>
        <v/>
      </c>
      <c r="AV23" s="58">
        <f>AV13*Premissas!$F$24</f>
        <v/>
      </c>
      <c r="AW23" s="58">
        <f>AW13*Premissas!$F$24</f>
        <v/>
      </c>
      <c r="AX23" s="58">
        <f>AX13*Premissas!$F$24</f>
        <v/>
      </c>
      <c r="AY23" s="58">
        <f>AY13*Premissas!$F$24</f>
        <v/>
      </c>
      <c r="AZ23" s="58">
        <f>AZ13*Premissas!$F$24</f>
        <v/>
      </c>
      <c r="BA23" s="58">
        <f>BA13*Premissas!$F$24</f>
        <v/>
      </c>
      <c r="BB23" s="58">
        <f>BB13*Premissas!$F$24</f>
        <v/>
      </c>
      <c r="BC23" s="58">
        <f>BC13*Premissas!$F$24</f>
        <v/>
      </c>
      <c r="BD23" s="58">
        <f>BD13*Premissas!$F$24</f>
        <v/>
      </c>
      <c r="BE23" s="58">
        <f>BE13*Premissas!$F$24</f>
        <v/>
      </c>
      <c r="BF23" s="58">
        <f>BF13*Premissas!$F$24</f>
        <v/>
      </c>
      <c r="BG23" s="58">
        <f>BG13*Premissas!$F$24</f>
        <v/>
      </c>
      <c r="BH23" s="58">
        <f>BH13*Premissas!$F$24</f>
        <v/>
      </c>
      <c r="BI23" s="58">
        <f>BI13*Premissas!$F$24</f>
        <v/>
      </c>
      <c r="BJ23" s="58">
        <f>BJ13*Premissas!$F$24</f>
        <v/>
      </c>
      <c r="BK23" s="58">
        <f>BK13*Premissas!$F$24</f>
        <v/>
      </c>
    </row>
    <row r="24" ht="15" customHeight="1" s="35">
      <c r="A24" s="47" t="inlineStr">
        <is>
          <t>RECEITA TOTAL (R$)</t>
        </is>
      </c>
      <c r="B24" s="53" t="inlineStr">
        <is>
          <t>R$</t>
        </is>
      </c>
      <c r="C24" s="59" t="n">
        <v>0</v>
      </c>
      <c r="D24" s="59">
        <f>D17+D18+D21+D22+D23</f>
        <v/>
      </c>
      <c r="E24" s="59">
        <f>E17+E18+E21+E22+E23</f>
        <v/>
      </c>
      <c r="F24" s="59">
        <f>F17+F18+F21+F22+F23</f>
        <v/>
      </c>
      <c r="G24" s="59">
        <f>G17+G18+G21+G22+G23</f>
        <v/>
      </c>
      <c r="H24" s="59">
        <f>H17+H18+H21+H22+H23</f>
        <v/>
      </c>
      <c r="I24" s="59">
        <f>I17+I18+I21+I22+I23</f>
        <v/>
      </c>
      <c r="J24" s="59">
        <f>J17+J18+J21+J22+J23</f>
        <v/>
      </c>
      <c r="K24" s="59">
        <f>K17+K18+K21+K22+K23</f>
        <v/>
      </c>
      <c r="L24" s="59">
        <f>L17+L18+L21+L22+L23</f>
        <v/>
      </c>
      <c r="M24" s="59">
        <f>M17+M18+M21+M22+M23</f>
        <v/>
      </c>
      <c r="N24" s="59">
        <f>N17+N18+N21+N22+N23</f>
        <v/>
      </c>
      <c r="O24" s="59">
        <f>O17+O18+O21+O22+O23</f>
        <v/>
      </c>
      <c r="P24" s="59">
        <f>P17+P18+P21+P22+P23</f>
        <v/>
      </c>
      <c r="Q24" s="59">
        <f>Q17+Q18+Q21+Q22+Q23</f>
        <v/>
      </c>
      <c r="R24" s="59">
        <f>R17+R18+R21+R22+R23</f>
        <v/>
      </c>
      <c r="S24" s="59">
        <f>S17+S18+S21+S22+S23</f>
        <v/>
      </c>
      <c r="T24" s="59">
        <f>T17+T18+T21+T22+T23</f>
        <v/>
      </c>
      <c r="U24" s="59">
        <f>U17+U18+U21+U22+U23</f>
        <v/>
      </c>
      <c r="V24" s="59">
        <f>V17+V18+V21+V22+V23</f>
        <v/>
      </c>
      <c r="W24" s="59">
        <f>W17+W18+W21+W22+W23</f>
        <v/>
      </c>
      <c r="X24" s="59">
        <f>X17+X18+X21+X22+X23</f>
        <v/>
      </c>
      <c r="Y24" s="59">
        <f>Y17+Y18+Y21+Y22+Y23</f>
        <v/>
      </c>
      <c r="Z24" s="59">
        <f>Z17+Z18+Z21+Z22+Z23</f>
        <v/>
      </c>
      <c r="AA24" s="59">
        <f>AA17+AA18+AA21+AA22+AA23</f>
        <v/>
      </c>
      <c r="AB24" s="59">
        <f>AB17+AB18+AB21+AB22+AB23</f>
        <v/>
      </c>
      <c r="AC24" s="59">
        <f>AC17+AC18+AC21+AC22+AC23</f>
        <v/>
      </c>
      <c r="AD24" s="59">
        <f>AD17+AD18+AD21+AD22+AD23</f>
        <v/>
      </c>
      <c r="AE24" s="59">
        <f>AE17+AE18+AE21+AE22+AE23</f>
        <v/>
      </c>
      <c r="AF24" s="59">
        <f>AF17+AF18+AF21+AF22+AF23</f>
        <v/>
      </c>
      <c r="AG24" s="59">
        <f>AG17+AG18+AG21+AG22+AG23</f>
        <v/>
      </c>
      <c r="AH24" s="59">
        <f>AH17+AH18+AH21+AH22+AH23</f>
        <v/>
      </c>
      <c r="AI24" s="59">
        <f>AI17+AI18+AI21+AI22+AI23</f>
        <v/>
      </c>
      <c r="AJ24" s="59">
        <f>AJ17+AJ18+AJ21+AJ22+AJ23</f>
        <v/>
      </c>
      <c r="AK24" s="59">
        <f>AK17+AK18+AK21+AK22+AK23</f>
        <v/>
      </c>
      <c r="AL24" s="59">
        <f>AL17+AL18+AL21+AL22+AL23</f>
        <v/>
      </c>
      <c r="AM24" s="59">
        <f>AM17+AM18+AM21+AM22+AM23</f>
        <v/>
      </c>
      <c r="AN24" s="59">
        <f>AN17+AN18+AN21+AN22+AN23</f>
        <v/>
      </c>
      <c r="AO24" s="59">
        <f>AO17+AO18+AO21+AO22+AO23</f>
        <v/>
      </c>
      <c r="AP24" s="59">
        <f>AP17+AP18+AP21+AP22+AP23</f>
        <v/>
      </c>
      <c r="AQ24" s="59">
        <f>AQ17+AQ18+AQ21+AQ22+AQ23</f>
        <v/>
      </c>
      <c r="AR24" s="59">
        <f>AR17+AR18+AR21+AR22+AR23</f>
        <v/>
      </c>
      <c r="AS24" s="59">
        <f>AS17+AS18+AS21+AS22+AS23</f>
        <v/>
      </c>
      <c r="AT24" s="59">
        <f>AT17+AT18+AT21+AT22+AT23</f>
        <v/>
      </c>
      <c r="AU24" s="59">
        <f>AU17+AU18+AU21+AU22+AU23</f>
        <v/>
      </c>
      <c r="AV24" s="59">
        <f>AV17+AV18+AV21+AV22+AV23</f>
        <v/>
      </c>
      <c r="AW24" s="59">
        <f>AW17+AW18+AW21+AW22+AW23</f>
        <v/>
      </c>
      <c r="AX24" s="59">
        <f>AX17+AX18+AX21+AX22+AX23</f>
        <v/>
      </c>
      <c r="AY24" s="59">
        <f>AY17+AY18+AY21+AY22+AY23</f>
        <v/>
      </c>
      <c r="AZ24" s="59">
        <f>AZ17+AZ18+AZ21+AZ22+AZ23</f>
        <v/>
      </c>
      <c r="BA24" s="59">
        <f>BA17+BA18+BA21+BA22+BA23</f>
        <v/>
      </c>
      <c r="BB24" s="59">
        <f>BB17+BB18+BB21+BB22+BB23</f>
        <v/>
      </c>
      <c r="BC24" s="59">
        <f>BC17+BC18+BC21+BC22+BC23</f>
        <v/>
      </c>
      <c r="BD24" s="59">
        <f>BD17+BD18+BD21+BD22+BD23</f>
        <v/>
      </c>
      <c r="BE24" s="59">
        <f>BE17+BE18+BE21+BE22+BE23</f>
        <v/>
      </c>
      <c r="BF24" s="59">
        <f>BF17+BF18+BF21+BF22+BF23</f>
        <v/>
      </c>
      <c r="BG24" s="59">
        <f>BG17+BG18+BG21+BG22+BG23</f>
        <v/>
      </c>
      <c r="BH24" s="59">
        <f>BH17+BH18+BH21+BH22+BH23</f>
        <v/>
      </c>
      <c r="BI24" s="59">
        <f>BI17+BI18+BI21+BI22+BI23</f>
        <v/>
      </c>
      <c r="BJ24" s="59">
        <f>BJ17+BJ18+BJ21+BJ22+BJ23</f>
        <v/>
      </c>
      <c r="BK24" s="59">
        <f>BK17+BK18+BK21+BK22+BK23</f>
        <v/>
      </c>
    </row>
    <row r="26" ht="15" customHeight="1" s="35">
      <c r="A26" s="46" t="inlineStr">
        <is>
          <t>── CUSTOS ──</t>
        </is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42" t="n"/>
      <c r="AV26" s="42" t="n"/>
      <c r="AW26" s="42" t="n"/>
      <c r="AX26" s="42" t="n"/>
      <c r="AY26" s="42" t="n"/>
      <c r="AZ26" s="42" t="n"/>
      <c r="BA26" s="42" t="n"/>
      <c r="BB26" s="42" t="n"/>
      <c r="BC26" s="42" t="n"/>
      <c r="BD26" s="42" t="n"/>
      <c r="BE26" s="42" t="n"/>
      <c r="BF26" s="42" t="n"/>
      <c r="BG26" s="42" t="n"/>
      <c r="BH26" s="42" t="n"/>
      <c r="BI26" s="42" t="n"/>
      <c r="BJ26" s="42" t="n"/>
      <c r="BK26" s="42" t="n"/>
    </row>
    <row r="27" ht="15" customHeight="1" s="35">
      <c r="A27" s="43" t="inlineStr">
        <is>
          <t>Custo de infraestrutura variável (R$)</t>
        </is>
      </c>
      <c r="B27" s="53" t="inlineStr">
        <is>
          <t>R$</t>
        </is>
      </c>
      <c r="C27" s="58" t="n">
        <v>0</v>
      </c>
      <c r="D27" s="58">
        <f>MIN(CEILING(D15/Premissas!$F$36,1)*Premissas!$F$35,D15*Premissas!$F$39)</f>
        <v/>
      </c>
      <c r="E27" s="58">
        <f>MIN(CEILING(E15/Premissas!$F$36,1)*Premissas!$F$35,E15*Premissas!$F$39)</f>
        <v/>
      </c>
      <c r="F27" s="58">
        <f>MIN(CEILING(F15/Premissas!$F$36,1)*Premissas!$F$35,F15*Premissas!$F$39)</f>
        <v/>
      </c>
      <c r="G27" s="58">
        <f>MIN(CEILING(G15/Premissas!$F$36,1)*Premissas!$F$35,G15*Premissas!$F$39)</f>
        <v/>
      </c>
      <c r="H27" s="58">
        <f>MIN(CEILING(H15/Premissas!$F$36,1)*Premissas!$F$35,H15*Premissas!$F$39)</f>
        <v/>
      </c>
      <c r="I27" s="58">
        <f>MIN(CEILING(I15/Premissas!$F$36,1)*Premissas!$F$35,I15*Premissas!$F$39)</f>
        <v/>
      </c>
      <c r="J27" s="58">
        <f>MIN(CEILING(J15/Premissas!$F$36,1)*Premissas!$F$35,J15*Premissas!$F$39)</f>
        <v/>
      </c>
      <c r="K27" s="58">
        <f>MIN(CEILING(K15/Premissas!$F$36,1)*Premissas!$F$35,K15*Premissas!$F$39)</f>
        <v/>
      </c>
      <c r="L27" s="58">
        <f>MIN(CEILING(L15/Premissas!$F$36,1)*Premissas!$F$35,L15*Premissas!$F$39)</f>
        <v/>
      </c>
      <c r="M27" s="58">
        <f>MIN(CEILING(M15/Premissas!$F$36,1)*Premissas!$F$35,M15*Premissas!$F$39)</f>
        <v/>
      </c>
      <c r="N27" s="58">
        <f>MIN(CEILING(N15/Premissas!$F$36,1)*Premissas!$F$35,N15*Premissas!$F$39)</f>
        <v/>
      </c>
      <c r="O27" s="58">
        <f>MIN(CEILING(O15/Premissas!$F$36,1)*Premissas!$F$35,O15*Premissas!$F$39)</f>
        <v/>
      </c>
      <c r="P27" s="58">
        <f>MIN(CEILING(P15/Premissas!$F$36,1)*Premissas!$F$35,P15*Premissas!$F$39)</f>
        <v/>
      </c>
      <c r="Q27" s="58">
        <f>MIN(CEILING(Q15/Premissas!$F$36,1)*Premissas!$F$35,Q15*Premissas!$F$39)</f>
        <v/>
      </c>
      <c r="R27" s="58">
        <f>MIN(CEILING(R15/Premissas!$F$36,1)*Premissas!$F$35,R15*Premissas!$F$39)</f>
        <v/>
      </c>
      <c r="S27" s="58">
        <f>MIN(CEILING(S15/Premissas!$F$36,1)*Premissas!$F$35,S15*Premissas!$F$39)</f>
        <v/>
      </c>
      <c r="T27" s="58">
        <f>MIN(CEILING(T15/Premissas!$F$36,1)*Premissas!$F$35,T15*Premissas!$F$39)</f>
        <v/>
      </c>
      <c r="U27" s="58">
        <f>MIN(CEILING(U15/Premissas!$F$36,1)*Premissas!$F$35,U15*Premissas!$F$39)</f>
        <v/>
      </c>
      <c r="V27" s="58">
        <f>MIN(CEILING(V15/Premissas!$F$36,1)*Premissas!$F$35,V15*Premissas!$F$39)</f>
        <v/>
      </c>
      <c r="W27" s="58">
        <f>MIN(CEILING(W15/Premissas!$F$36,1)*Premissas!$F$35,W15*Premissas!$F$39)</f>
        <v/>
      </c>
      <c r="X27" s="58">
        <f>MIN(CEILING(X15/Premissas!$F$36,1)*Premissas!$F$35,X15*Premissas!$F$39)</f>
        <v/>
      </c>
      <c r="Y27" s="58">
        <f>MIN(CEILING(Y15/Premissas!$F$36,1)*Premissas!$F$35,Y15*Premissas!$F$39)</f>
        <v/>
      </c>
      <c r="Z27" s="58">
        <f>MIN(CEILING(Z15/Premissas!$F$36,1)*Premissas!$F$35,Z15*Premissas!$F$39)</f>
        <v/>
      </c>
      <c r="AA27" s="58">
        <f>MIN(CEILING(AA15/Premissas!$F$36,1)*Premissas!$F$35,AA15*Premissas!$F$39)</f>
        <v/>
      </c>
      <c r="AB27" s="58">
        <f>MIN(CEILING(AB15/Premissas!$F$36,1)*Premissas!$F$35,AB15*Premissas!$F$39)</f>
        <v/>
      </c>
      <c r="AC27" s="58">
        <f>MIN(CEILING(AC15/Premissas!$F$36,1)*Premissas!$F$35,AC15*Premissas!$F$39)</f>
        <v/>
      </c>
      <c r="AD27" s="58">
        <f>MIN(CEILING(AD15/Premissas!$F$36,1)*Premissas!$F$35,AD15*Premissas!$F$39)</f>
        <v/>
      </c>
      <c r="AE27" s="58">
        <f>MIN(CEILING(AE15/Premissas!$F$36,1)*Premissas!$F$35,AE15*Premissas!$F$39)</f>
        <v/>
      </c>
      <c r="AF27" s="58">
        <f>MIN(CEILING(AF15/Premissas!$F$36,1)*Premissas!$F$35,AF15*Premissas!$F$39)</f>
        <v/>
      </c>
      <c r="AG27" s="58">
        <f>MIN(CEILING(AG15/Premissas!$F$36,1)*Premissas!$F$35,AG15*Premissas!$F$39)</f>
        <v/>
      </c>
      <c r="AH27" s="58">
        <f>MIN(CEILING(AH15/Premissas!$F$36,1)*Premissas!$F$35,AH15*Premissas!$F$39)</f>
        <v/>
      </c>
      <c r="AI27" s="58">
        <f>MIN(CEILING(AI15/Premissas!$F$36,1)*Premissas!$F$35,AI15*Premissas!$F$39)</f>
        <v/>
      </c>
      <c r="AJ27" s="58">
        <f>MIN(CEILING(AJ15/Premissas!$F$36,1)*Premissas!$F$35,AJ15*Premissas!$F$39)</f>
        <v/>
      </c>
      <c r="AK27" s="58">
        <f>MIN(CEILING(AK15/Premissas!$F$36,1)*Premissas!$F$35,AK15*Premissas!$F$39)</f>
        <v/>
      </c>
      <c r="AL27" s="58">
        <f>MIN(CEILING(AL15/Premissas!$F$36,1)*Premissas!$F$35,AL15*Premissas!$F$39)</f>
        <v/>
      </c>
      <c r="AM27" s="58">
        <f>MIN(CEILING(AM15/Premissas!$F$36,1)*Premissas!$F$35,AM15*Premissas!$F$39)</f>
        <v/>
      </c>
      <c r="AN27" s="58">
        <f>MIN(CEILING(AN15/Premissas!$F$36,1)*Premissas!$F$35,AN15*Premissas!$F$39)</f>
        <v/>
      </c>
      <c r="AO27" s="58">
        <f>MIN(CEILING(AO15/Premissas!$F$36,1)*Premissas!$F$35,AO15*Premissas!$F$39)</f>
        <v/>
      </c>
      <c r="AP27" s="58">
        <f>MIN(CEILING(AP15/Premissas!$F$36,1)*Premissas!$F$35,AP15*Premissas!$F$39)</f>
        <v/>
      </c>
      <c r="AQ27" s="58">
        <f>MIN(CEILING(AQ15/Premissas!$F$36,1)*Premissas!$F$35,AQ15*Premissas!$F$39)</f>
        <v/>
      </c>
      <c r="AR27" s="58">
        <f>MIN(CEILING(AR15/Premissas!$F$36,1)*Premissas!$F$35,AR15*Premissas!$F$39)</f>
        <v/>
      </c>
      <c r="AS27" s="58">
        <f>MIN(CEILING(AS15/Premissas!$F$36,1)*Premissas!$F$35,AS15*Premissas!$F$39)</f>
        <v/>
      </c>
      <c r="AT27" s="58">
        <f>MIN(CEILING(AT15/Premissas!$F$36,1)*Premissas!$F$35,AT15*Premissas!$F$39)</f>
        <v/>
      </c>
      <c r="AU27" s="58">
        <f>MIN(CEILING(AU15/Premissas!$F$36,1)*Premissas!$F$35,AU15*Premissas!$F$39)</f>
        <v/>
      </c>
      <c r="AV27" s="58">
        <f>MIN(CEILING(AV15/Premissas!$F$36,1)*Premissas!$F$35,AV15*Premissas!$F$39)</f>
        <v/>
      </c>
      <c r="AW27" s="58">
        <f>MIN(CEILING(AW15/Premissas!$F$36,1)*Premissas!$F$35,AW15*Premissas!$F$39)</f>
        <v/>
      </c>
      <c r="AX27" s="58">
        <f>MIN(CEILING(AX15/Premissas!$F$36,1)*Premissas!$F$35,AX15*Premissas!$F$39)</f>
        <v/>
      </c>
      <c r="AY27" s="58">
        <f>MIN(CEILING(AY15/Premissas!$F$36,1)*Premissas!$F$35,AY15*Premissas!$F$39)</f>
        <v/>
      </c>
      <c r="AZ27" s="58">
        <f>MIN(CEILING(AZ15/Premissas!$F$36,1)*Premissas!$F$35,AZ15*Premissas!$F$39)</f>
        <v/>
      </c>
      <c r="BA27" s="58">
        <f>MIN(CEILING(BA15/Premissas!$F$36,1)*Premissas!$F$35,BA15*Premissas!$F$39)</f>
        <v/>
      </c>
      <c r="BB27" s="58">
        <f>MIN(CEILING(BB15/Premissas!$F$36,1)*Premissas!$F$35,BB15*Premissas!$F$39)</f>
        <v/>
      </c>
      <c r="BC27" s="58">
        <f>MIN(CEILING(BC15/Premissas!$F$36,1)*Premissas!$F$35,BC15*Premissas!$F$39)</f>
        <v/>
      </c>
      <c r="BD27" s="58">
        <f>MIN(CEILING(BD15/Premissas!$F$36,1)*Premissas!$F$35,BD15*Premissas!$F$39)</f>
        <v/>
      </c>
      <c r="BE27" s="58">
        <f>MIN(CEILING(BE15/Premissas!$F$36,1)*Premissas!$F$35,BE15*Premissas!$F$39)</f>
        <v/>
      </c>
      <c r="BF27" s="58">
        <f>MIN(CEILING(BF15/Premissas!$F$36,1)*Premissas!$F$35,BF15*Premissas!$F$39)</f>
        <v/>
      </c>
      <c r="BG27" s="58">
        <f>MIN(CEILING(BG15/Premissas!$F$36,1)*Premissas!$F$35,BG15*Premissas!$F$39)</f>
        <v/>
      </c>
      <c r="BH27" s="58">
        <f>MIN(CEILING(BH15/Premissas!$F$36,1)*Premissas!$F$35,BH15*Premissas!$F$39)</f>
        <v/>
      </c>
      <c r="BI27" s="58">
        <f>MIN(CEILING(BI15/Premissas!$F$36,1)*Premissas!$F$35,BI15*Premissas!$F$39)</f>
        <v/>
      </c>
      <c r="BJ27" s="58">
        <f>MIN(CEILING(BJ15/Premissas!$F$36,1)*Premissas!$F$35,BJ15*Premissas!$F$39)</f>
        <v/>
      </c>
      <c r="BK27" s="58">
        <f>MIN(CEILING(BK15/Premissas!$F$36,1)*Premissas!$F$35,BK15*Premissas!$F$39)</f>
        <v/>
      </c>
    </row>
    <row r="28" ht="15" customHeight="1" s="35">
      <c r="A28" s="43" t="inlineStr">
        <is>
          <t>Custo de equipe (R$)</t>
        </is>
      </c>
      <c r="B28" s="53" t="inlineStr">
        <is>
          <t>R$</t>
        </is>
      </c>
      <c r="C28" s="58" t="n">
        <v>0</v>
      </c>
      <c r="D28" s="58">
        <f>ROUNDUP(D13/Premissas!$F$29,0)*Premissas!$F$30</f>
        <v/>
      </c>
      <c r="E28" s="58">
        <f>ROUNDUP(E13/Premissas!$F$29,0)*Premissas!$F$30</f>
        <v/>
      </c>
      <c r="F28" s="58">
        <f>ROUNDUP(F13/Premissas!$F$29,0)*Premissas!$F$30</f>
        <v/>
      </c>
      <c r="G28" s="58">
        <f>ROUNDUP(G13/Premissas!$F$29,0)*Premissas!$F$30</f>
        <v/>
      </c>
      <c r="H28" s="58">
        <f>ROUNDUP(H13/Premissas!$F$29,0)*Premissas!$F$30</f>
        <v/>
      </c>
      <c r="I28" s="58">
        <f>ROUNDUP(I13/Premissas!$F$29,0)*Premissas!$F$30</f>
        <v/>
      </c>
      <c r="J28" s="58">
        <f>ROUNDUP(J13/Premissas!$F$29,0)*Premissas!$F$30</f>
        <v/>
      </c>
      <c r="K28" s="58">
        <f>ROUNDUP(K13/Premissas!$F$29,0)*Premissas!$F$30</f>
        <v/>
      </c>
      <c r="L28" s="58">
        <f>ROUNDUP(L13/Premissas!$F$29,0)*Premissas!$F$30</f>
        <v/>
      </c>
      <c r="M28" s="58">
        <f>ROUNDUP(M13/Premissas!$F$29,0)*Premissas!$F$30</f>
        <v/>
      </c>
      <c r="N28" s="58">
        <f>ROUNDUP(N13/Premissas!$F$29,0)*Premissas!$F$30</f>
        <v/>
      </c>
      <c r="O28" s="58">
        <f>ROUNDUP(O13/Premissas!$F$29,0)*Premissas!$F$30</f>
        <v/>
      </c>
      <c r="P28" s="58">
        <f>ROUNDUP(P13/Premissas!$F$29,0)*Premissas!$F$30</f>
        <v/>
      </c>
      <c r="Q28" s="58">
        <f>ROUNDUP(Q13/Premissas!$F$29,0)*Premissas!$F$30</f>
        <v/>
      </c>
      <c r="R28" s="58">
        <f>ROUNDUP(R13/Premissas!$F$29,0)*Premissas!$F$30</f>
        <v/>
      </c>
      <c r="S28" s="58">
        <f>ROUNDUP(S13/Premissas!$F$29,0)*Premissas!$F$30</f>
        <v/>
      </c>
      <c r="T28" s="58">
        <f>ROUNDUP(T13/Premissas!$F$29,0)*Premissas!$F$30</f>
        <v/>
      </c>
      <c r="U28" s="58">
        <f>ROUNDUP(U13/Premissas!$F$29,0)*Premissas!$F$30</f>
        <v/>
      </c>
      <c r="V28" s="58">
        <f>ROUNDUP(V13/Premissas!$F$29,0)*Premissas!$F$30</f>
        <v/>
      </c>
      <c r="W28" s="58">
        <f>ROUNDUP(W13/Premissas!$F$29,0)*Premissas!$F$30</f>
        <v/>
      </c>
      <c r="X28" s="58">
        <f>ROUNDUP(X13/Premissas!$F$29,0)*Premissas!$F$30</f>
        <v/>
      </c>
      <c r="Y28" s="58">
        <f>ROUNDUP(Y13/Premissas!$F$29,0)*Premissas!$F$30</f>
        <v/>
      </c>
      <c r="Z28" s="58">
        <f>ROUNDUP(Z13/Premissas!$F$29,0)*Premissas!$F$30</f>
        <v/>
      </c>
      <c r="AA28" s="58">
        <f>ROUNDUP(AA13/Premissas!$F$29,0)*Premissas!$F$30</f>
        <v/>
      </c>
      <c r="AB28" s="58">
        <f>ROUNDUP(AB13/Premissas!$F$29,0)*Premissas!$F$30</f>
        <v/>
      </c>
      <c r="AC28" s="58">
        <f>ROUNDUP(AC13/Premissas!$F$29,0)*Premissas!$F$30</f>
        <v/>
      </c>
      <c r="AD28" s="58">
        <f>ROUNDUP(AD13/Premissas!$F$29,0)*Premissas!$F$30</f>
        <v/>
      </c>
      <c r="AE28" s="58">
        <f>ROUNDUP(AE13/Premissas!$F$29,0)*Premissas!$F$30</f>
        <v/>
      </c>
      <c r="AF28" s="58">
        <f>ROUNDUP(AF13/Premissas!$F$29,0)*Premissas!$F$30</f>
        <v/>
      </c>
      <c r="AG28" s="58">
        <f>ROUNDUP(AG13/Premissas!$F$29,0)*Premissas!$F$30</f>
        <v/>
      </c>
      <c r="AH28" s="58">
        <f>ROUNDUP(AH13/Premissas!$F$29,0)*Premissas!$F$30</f>
        <v/>
      </c>
      <c r="AI28" s="58">
        <f>ROUNDUP(AI13/Premissas!$F$29,0)*Premissas!$F$30</f>
        <v/>
      </c>
      <c r="AJ28" s="58">
        <f>ROUNDUP(AJ13/Premissas!$F$29,0)*Premissas!$F$30</f>
        <v/>
      </c>
      <c r="AK28" s="58">
        <f>ROUNDUP(AK13/Premissas!$F$29,0)*Premissas!$F$30</f>
        <v/>
      </c>
      <c r="AL28" s="58">
        <f>ROUNDUP(AL13/Premissas!$F$29,0)*Premissas!$F$30</f>
        <v/>
      </c>
      <c r="AM28" s="58">
        <f>ROUNDUP(AM13/Premissas!$F$29,0)*Premissas!$F$30</f>
        <v/>
      </c>
      <c r="AN28" s="58">
        <f>ROUNDUP(AN13/Premissas!$F$29,0)*Premissas!$F$30</f>
        <v/>
      </c>
      <c r="AO28" s="58">
        <f>ROUNDUP(AO13/Premissas!$F$29,0)*Premissas!$F$30</f>
        <v/>
      </c>
      <c r="AP28" s="58">
        <f>ROUNDUP(AP13/Premissas!$F$29,0)*Premissas!$F$30</f>
        <v/>
      </c>
      <c r="AQ28" s="58">
        <f>ROUNDUP(AQ13/Premissas!$F$29,0)*Premissas!$F$30</f>
        <v/>
      </c>
      <c r="AR28" s="58">
        <f>ROUNDUP(AR13/Premissas!$F$29,0)*Premissas!$F$30</f>
        <v/>
      </c>
      <c r="AS28" s="58">
        <f>ROUNDUP(AS13/Premissas!$F$29,0)*Premissas!$F$30</f>
        <v/>
      </c>
      <c r="AT28" s="58">
        <f>ROUNDUP(AT13/Premissas!$F$29,0)*Premissas!$F$30</f>
        <v/>
      </c>
      <c r="AU28" s="58">
        <f>ROUNDUP(AU13/Premissas!$F$29,0)*Premissas!$F$30</f>
        <v/>
      </c>
      <c r="AV28" s="58">
        <f>ROUNDUP(AV13/Premissas!$F$29,0)*Premissas!$F$30</f>
        <v/>
      </c>
      <c r="AW28" s="58">
        <f>ROUNDUP(AW13/Premissas!$F$29,0)*Premissas!$F$30</f>
        <v/>
      </c>
      <c r="AX28" s="58">
        <f>ROUNDUP(AX13/Premissas!$F$29,0)*Premissas!$F$30</f>
        <v/>
      </c>
      <c r="AY28" s="58">
        <f>ROUNDUP(AY13/Premissas!$F$29,0)*Premissas!$F$30</f>
        <v/>
      </c>
      <c r="AZ28" s="58">
        <f>ROUNDUP(AZ13/Premissas!$F$29,0)*Premissas!$F$30</f>
        <v/>
      </c>
      <c r="BA28" s="58">
        <f>ROUNDUP(BA13/Premissas!$F$29,0)*Premissas!$F$30</f>
        <v/>
      </c>
      <c r="BB28" s="58">
        <f>ROUNDUP(BB13/Premissas!$F$29,0)*Premissas!$F$30</f>
        <v/>
      </c>
      <c r="BC28" s="58">
        <f>ROUNDUP(BC13/Premissas!$F$29,0)*Premissas!$F$30</f>
        <v/>
      </c>
      <c r="BD28" s="58">
        <f>ROUNDUP(BD13/Premissas!$F$29,0)*Premissas!$F$30</f>
        <v/>
      </c>
      <c r="BE28" s="58">
        <f>ROUNDUP(BE13/Premissas!$F$29,0)*Premissas!$F$30</f>
        <v/>
      </c>
      <c r="BF28" s="58">
        <f>ROUNDUP(BF13/Premissas!$F$29,0)*Premissas!$F$30</f>
        <v/>
      </c>
      <c r="BG28" s="58">
        <f>ROUNDUP(BG13/Premissas!$F$29,0)*Premissas!$F$30</f>
        <v/>
      </c>
      <c r="BH28" s="58">
        <f>ROUNDUP(BH13/Premissas!$F$29,0)*Premissas!$F$30</f>
        <v/>
      </c>
      <c r="BI28" s="58">
        <f>ROUNDUP(BI13/Premissas!$F$29,0)*Premissas!$F$30</f>
        <v/>
      </c>
      <c r="BJ28" s="58">
        <f>ROUNDUP(BJ13/Premissas!$F$29,0)*Premissas!$F$30</f>
        <v/>
      </c>
      <c r="BK28" s="58">
        <f>ROUNDUP(BK13/Premissas!$F$29,0)*Premissas!$F$30</f>
        <v/>
      </c>
    </row>
    <row r="29" ht="15" customHeight="1" s="35">
      <c r="A29" s="43" t="inlineStr">
        <is>
          <t>CAC do mês — aquisição de novos cadastros (R$)</t>
        </is>
      </c>
      <c r="B29" s="53" t="inlineStr">
        <is>
          <t>R$</t>
        </is>
      </c>
      <c r="C29" s="58" t="n">
        <v>0</v>
      </c>
      <c r="D29" s="58">
        <f>D6*Premissas!$F$27</f>
        <v/>
      </c>
      <c r="E29" s="58">
        <f>E6*Premissas!$F$27</f>
        <v/>
      </c>
      <c r="F29" s="58">
        <f>F6*Premissas!$F$27</f>
        <v/>
      </c>
      <c r="G29" s="58">
        <f>G6*Premissas!$F$27</f>
        <v/>
      </c>
      <c r="H29" s="58">
        <f>H6*Premissas!$F$27</f>
        <v/>
      </c>
      <c r="I29" s="58">
        <f>I6*Premissas!$F$27</f>
        <v/>
      </c>
      <c r="J29" s="58">
        <f>J6*Premissas!$F$27</f>
        <v/>
      </c>
      <c r="K29" s="58">
        <f>K6*Premissas!$F$27</f>
        <v/>
      </c>
      <c r="L29" s="58">
        <f>L6*Premissas!$F$27</f>
        <v/>
      </c>
      <c r="M29" s="58">
        <f>M6*Premissas!$F$27</f>
        <v/>
      </c>
      <c r="N29" s="58">
        <f>N6*Premissas!$F$27</f>
        <v/>
      </c>
      <c r="O29" s="58">
        <f>O6*Premissas!$F$27</f>
        <v/>
      </c>
      <c r="P29" s="58">
        <f>P6*Premissas!$F$27</f>
        <v/>
      </c>
      <c r="Q29" s="58">
        <f>Q6*Premissas!$F$27</f>
        <v/>
      </c>
      <c r="R29" s="58">
        <f>R6*Premissas!$F$27</f>
        <v/>
      </c>
      <c r="S29" s="58">
        <f>S6*Premissas!$F$27</f>
        <v/>
      </c>
      <c r="T29" s="58">
        <f>T6*Premissas!$F$27</f>
        <v/>
      </c>
      <c r="U29" s="58">
        <f>U6*Premissas!$F$27</f>
        <v/>
      </c>
      <c r="V29" s="58">
        <f>V6*Premissas!$F$27</f>
        <v/>
      </c>
      <c r="W29" s="58">
        <f>W6*Premissas!$F$27</f>
        <v/>
      </c>
      <c r="X29" s="58">
        <f>X6*Premissas!$F$27</f>
        <v/>
      </c>
      <c r="Y29" s="58">
        <f>Y6*Premissas!$F$27</f>
        <v/>
      </c>
      <c r="Z29" s="58">
        <f>Z6*Premissas!$F$27</f>
        <v/>
      </c>
      <c r="AA29" s="58">
        <f>AA6*Premissas!$F$27</f>
        <v/>
      </c>
      <c r="AB29" s="58">
        <f>AB6*Premissas!$F$27</f>
        <v/>
      </c>
      <c r="AC29" s="58">
        <f>AC6*Premissas!$F$27</f>
        <v/>
      </c>
      <c r="AD29" s="58">
        <f>AD6*Premissas!$F$27</f>
        <v/>
      </c>
      <c r="AE29" s="58">
        <f>AE6*Premissas!$F$27</f>
        <v/>
      </c>
      <c r="AF29" s="58">
        <f>AF6*Premissas!$F$27</f>
        <v/>
      </c>
      <c r="AG29" s="58">
        <f>AG6*Premissas!$F$27</f>
        <v/>
      </c>
      <c r="AH29" s="58">
        <f>AH6*Premissas!$F$27</f>
        <v/>
      </c>
      <c r="AI29" s="58">
        <f>AI6*Premissas!$F$27</f>
        <v/>
      </c>
      <c r="AJ29" s="58">
        <f>AJ6*Premissas!$F$27</f>
        <v/>
      </c>
      <c r="AK29" s="58">
        <f>AK6*Premissas!$F$27</f>
        <v/>
      </c>
      <c r="AL29" s="58">
        <f>AL6*Premissas!$F$27</f>
        <v/>
      </c>
      <c r="AM29" s="58">
        <f>AM6*Premissas!$F$27</f>
        <v/>
      </c>
      <c r="AN29" s="58">
        <f>AN6*Premissas!$F$27</f>
        <v/>
      </c>
      <c r="AO29" s="58">
        <f>AO6*Premissas!$F$27</f>
        <v/>
      </c>
      <c r="AP29" s="58">
        <f>AP6*Premissas!$F$27</f>
        <v/>
      </c>
      <c r="AQ29" s="58">
        <f>AQ6*Premissas!$F$27</f>
        <v/>
      </c>
      <c r="AR29" s="58">
        <f>AR6*Premissas!$F$27</f>
        <v/>
      </c>
      <c r="AS29" s="58">
        <f>AS6*Premissas!$F$27</f>
        <v/>
      </c>
      <c r="AT29" s="58">
        <f>AT6*Premissas!$F$27</f>
        <v/>
      </c>
      <c r="AU29" s="58">
        <f>AU6*Premissas!$F$27</f>
        <v/>
      </c>
      <c r="AV29" s="58">
        <f>AV6*Premissas!$F$27</f>
        <v/>
      </c>
      <c r="AW29" s="58">
        <f>AW6*Premissas!$F$27</f>
        <v/>
      </c>
      <c r="AX29" s="58">
        <f>AX6*Premissas!$F$27</f>
        <v/>
      </c>
      <c r="AY29" s="58">
        <f>AY6*Premissas!$F$27</f>
        <v/>
      </c>
      <c r="AZ29" s="58">
        <f>AZ6*Premissas!$F$27</f>
        <v/>
      </c>
      <c r="BA29" s="58">
        <f>BA6*Premissas!$F$27</f>
        <v/>
      </c>
      <c r="BB29" s="58">
        <f>BB6*Premissas!$F$27</f>
        <v/>
      </c>
      <c r="BC29" s="58">
        <f>BC6*Premissas!$F$27</f>
        <v/>
      </c>
      <c r="BD29" s="58">
        <f>BD6*Premissas!$F$27</f>
        <v/>
      </c>
      <c r="BE29" s="58">
        <f>BE6*Premissas!$F$27</f>
        <v/>
      </c>
      <c r="BF29" s="58">
        <f>BF6*Premissas!$F$27</f>
        <v/>
      </c>
      <c r="BG29" s="58">
        <f>BG6*Premissas!$F$27</f>
        <v/>
      </c>
      <c r="BH29" s="58">
        <f>BH6*Premissas!$F$27</f>
        <v/>
      </c>
      <c r="BI29" s="58">
        <f>BI6*Premissas!$F$27</f>
        <v/>
      </c>
      <c r="BJ29" s="58">
        <f>BJ6*Premissas!$F$27</f>
        <v/>
      </c>
      <c r="BK29" s="58">
        <f>BK6*Premissas!$F$27</f>
        <v/>
      </c>
    </row>
    <row r="30" ht="15" customHeight="1" s="35">
      <c r="A30" s="43" t="inlineStr">
        <is>
          <t>Custos fixos administrativos (R$)</t>
        </is>
      </c>
      <c r="B30" s="53" t="inlineStr">
        <is>
          <t>R$</t>
        </is>
      </c>
      <c r="C30" s="58" t="n">
        <v>0</v>
      </c>
      <c r="D30" s="58">
        <f>Premissas!$F$31</f>
        <v/>
      </c>
      <c r="E30" s="58">
        <f>Premissas!$F$31</f>
        <v/>
      </c>
      <c r="F30" s="58">
        <f>Premissas!$F$31</f>
        <v/>
      </c>
      <c r="G30" s="58">
        <f>Premissas!$F$31</f>
        <v/>
      </c>
      <c r="H30" s="58">
        <f>Premissas!$F$31</f>
        <v/>
      </c>
      <c r="I30" s="58">
        <f>Premissas!$F$31</f>
        <v/>
      </c>
      <c r="J30" s="58">
        <f>Premissas!$F$31</f>
        <v/>
      </c>
      <c r="K30" s="58">
        <f>Premissas!$F$31</f>
        <v/>
      </c>
      <c r="L30" s="58">
        <f>Premissas!$F$31</f>
        <v/>
      </c>
      <c r="M30" s="58">
        <f>Premissas!$F$31</f>
        <v/>
      </c>
      <c r="N30" s="58">
        <f>Premissas!$F$31</f>
        <v/>
      </c>
      <c r="O30" s="58">
        <f>Premissas!$F$31</f>
        <v/>
      </c>
      <c r="P30" s="58">
        <f>Premissas!$F$31</f>
        <v/>
      </c>
      <c r="Q30" s="58">
        <f>Premissas!$F$31</f>
        <v/>
      </c>
      <c r="R30" s="58">
        <f>Premissas!$F$31</f>
        <v/>
      </c>
      <c r="S30" s="58">
        <f>Premissas!$F$31</f>
        <v/>
      </c>
      <c r="T30" s="58">
        <f>Premissas!$F$31</f>
        <v/>
      </c>
      <c r="U30" s="58">
        <f>Premissas!$F$31</f>
        <v/>
      </c>
      <c r="V30" s="58">
        <f>Premissas!$F$31</f>
        <v/>
      </c>
      <c r="W30" s="58">
        <f>Premissas!$F$31</f>
        <v/>
      </c>
      <c r="X30" s="58">
        <f>Premissas!$F$31</f>
        <v/>
      </c>
      <c r="Y30" s="58">
        <f>Premissas!$F$31</f>
        <v/>
      </c>
      <c r="Z30" s="58">
        <f>Premissas!$F$31</f>
        <v/>
      </c>
      <c r="AA30" s="58">
        <f>Premissas!$F$31</f>
        <v/>
      </c>
      <c r="AB30" s="58">
        <f>Premissas!$F$31</f>
        <v/>
      </c>
      <c r="AC30" s="58">
        <f>Premissas!$F$31</f>
        <v/>
      </c>
      <c r="AD30" s="58">
        <f>Premissas!$F$31</f>
        <v/>
      </c>
      <c r="AE30" s="58">
        <f>Premissas!$F$31</f>
        <v/>
      </c>
      <c r="AF30" s="58">
        <f>Premissas!$F$31</f>
        <v/>
      </c>
      <c r="AG30" s="58">
        <f>Premissas!$F$31</f>
        <v/>
      </c>
      <c r="AH30" s="58">
        <f>Premissas!$F$31</f>
        <v/>
      </c>
      <c r="AI30" s="58">
        <f>Premissas!$F$31</f>
        <v/>
      </c>
      <c r="AJ30" s="58">
        <f>Premissas!$F$31</f>
        <v/>
      </c>
      <c r="AK30" s="58">
        <f>Premissas!$F$31</f>
        <v/>
      </c>
      <c r="AL30" s="58">
        <f>Premissas!$F$31</f>
        <v/>
      </c>
      <c r="AM30" s="58">
        <f>Premissas!$F$31</f>
        <v/>
      </c>
      <c r="AN30" s="58">
        <f>Premissas!$F$31</f>
        <v/>
      </c>
      <c r="AO30" s="58">
        <f>Premissas!$F$31</f>
        <v/>
      </c>
      <c r="AP30" s="58">
        <f>Premissas!$F$31</f>
        <v/>
      </c>
      <c r="AQ30" s="58">
        <f>Premissas!$F$31</f>
        <v/>
      </c>
      <c r="AR30" s="58">
        <f>Premissas!$F$31</f>
        <v/>
      </c>
      <c r="AS30" s="58">
        <f>Premissas!$F$31</f>
        <v/>
      </c>
      <c r="AT30" s="58">
        <f>Premissas!$F$31</f>
        <v/>
      </c>
      <c r="AU30" s="58">
        <f>Premissas!$F$31</f>
        <v/>
      </c>
      <c r="AV30" s="58">
        <f>Premissas!$F$31</f>
        <v/>
      </c>
      <c r="AW30" s="58">
        <f>Premissas!$F$31</f>
        <v/>
      </c>
      <c r="AX30" s="58">
        <f>Premissas!$F$31</f>
        <v/>
      </c>
      <c r="AY30" s="58">
        <f>Premissas!$F$31</f>
        <v/>
      </c>
      <c r="AZ30" s="58">
        <f>Premissas!$F$31</f>
        <v/>
      </c>
      <c r="BA30" s="58">
        <f>Premissas!$F$31</f>
        <v/>
      </c>
      <c r="BB30" s="58">
        <f>Premissas!$F$31</f>
        <v/>
      </c>
      <c r="BC30" s="58">
        <f>Premissas!$F$31</f>
        <v/>
      </c>
      <c r="BD30" s="58">
        <f>Premissas!$F$31</f>
        <v/>
      </c>
      <c r="BE30" s="58">
        <f>Premissas!$F$31</f>
        <v/>
      </c>
      <c r="BF30" s="58">
        <f>Premissas!$F$31</f>
        <v/>
      </c>
      <c r="BG30" s="58">
        <f>Premissas!$F$31</f>
        <v/>
      </c>
      <c r="BH30" s="58">
        <f>Premissas!$F$31</f>
        <v/>
      </c>
      <c r="BI30" s="58">
        <f>Premissas!$F$31</f>
        <v/>
      </c>
      <c r="BJ30" s="58">
        <f>Premissas!$F$31</f>
        <v/>
      </c>
      <c r="BK30" s="58">
        <f>Premissas!$F$31</f>
        <v/>
      </c>
    </row>
    <row r="31" ht="15" customHeight="1" s="35">
      <c r="A31" s="43" t="inlineStr">
        <is>
          <t>Impostos — Simples Nacional (R$)</t>
        </is>
      </c>
      <c r="B31" s="53" t="inlineStr">
        <is>
          <t>R$</t>
        </is>
      </c>
      <c r="C31" s="58" t="n">
        <v>0</v>
      </c>
      <c r="D31" s="58">
        <f>D24*Premissas!$F$32</f>
        <v/>
      </c>
      <c r="E31" s="58">
        <f>E24*Premissas!$F$32</f>
        <v/>
      </c>
      <c r="F31" s="58">
        <f>F24*Premissas!$F$32</f>
        <v/>
      </c>
      <c r="G31" s="58">
        <f>G24*Premissas!$F$32</f>
        <v/>
      </c>
      <c r="H31" s="58">
        <f>H24*Premissas!$F$32</f>
        <v/>
      </c>
      <c r="I31" s="58">
        <f>I24*Premissas!$F$32</f>
        <v/>
      </c>
      <c r="J31" s="58">
        <f>J24*Premissas!$F$32</f>
        <v/>
      </c>
      <c r="K31" s="58">
        <f>K24*Premissas!$F$32</f>
        <v/>
      </c>
      <c r="L31" s="58">
        <f>L24*Premissas!$F$32</f>
        <v/>
      </c>
      <c r="M31" s="58">
        <f>M24*Premissas!$F$32</f>
        <v/>
      </c>
      <c r="N31" s="58">
        <f>N24*Premissas!$F$32</f>
        <v/>
      </c>
      <c r="O31" s="58">
        <f>O24*Premissas!$F$32</f>
        <v/>
      </c>
      <c r="P31" s="58">
        <f>P24*Premissas!$F$32</f>
        <v/>
      </c>
      <c r="Q31" s="58">
        <f>Q24*Premissas!$F$32</f>
        <v/>
      </c>
      <c r="R31" s="58">
        <f>R24*Premissas!$F$32</f>
        <v/>
      </c>
      <c r="S31" s="58">
        <f>S24*Premissas!$F$32</f>
        <v/>
      </c>
      <c r="T31" s="58">
        <f>T24*Premissas!$F$32</f>
        <v/>
      </c>
      <c r="U31" s="58">
        <f>U24*Premissas!$F$32</f>
        <v/>
      </c>
      <c r="V31" s="58">
        <f>V24*Premissas!$F$32</f>
        <v/>
      </c>
      <c r="W31" s="58">
        <f>W24*Premissas!$F$32</f>
        <v/>
      </c>
      <c r="X31" s="58">
        <f>X24*Premissas!$F$32</f>
        <v/>
      </c>
      <c r="Y31" s="58">
        <f>Y24*Premissas!$F$32</f>
        <v/>
      </c>
      <c r="Z31" s="58">
        <f>Z24*Premissas!$F$32</f>
        <v/>
      </c>
      <c r="AA31" s="58">
        <f>AA24*Premissas!$F$32</f>
        <v/>
      </c>
      <c r="AB31" s="58">
        <f>AB24*Premissas!$F$32</f>
        <v/>
      </c>
      <c r="AC31" s="58">
        <f>AC24*Premissas!$F$32</f>
        <v/>
      </c>
      <c r="AD31" s="58">
        <f>AD24*Premissas!$F$32</f>
        <v/>
      </c>
      <c r="AE31" s="58">
        <f>AE24*Premissas!$F$32</f>
        <v/>
      </c>
      <c r="AF31" s="58">
        <f>AF24*Premissas!$F$32</f>
        <v/>
      </c>
      <c r="AG31" s="58">
        <f>AG24*Premissas!$F$32</f>
        <v/>
      </c>
      <c r="AH31" s="58">
        <f>AH24*Premissas!$F$32</f>
        <v/>
      </c>
      <c r="AI31" s="58">
        <f>AI24*Premissas!$F$32</f>
        <v/>
      </c>
      <c r="AJ31" s="58">
        <f>AJ24*Premissas!$F$32</f>
        <v/>
      </c>
      <c r="AK31" s="58">
        <f>AK24*Premissas!$F$32</f>
        <v/>
      </c>
      <c r="AL31" s="58">
        <f>AL24*Premissas!$F$32</f>
        <v/>
      </c>
      <c r="AM31" s="58">
        <f>AM24*Premissas!$F$32</f>
        <v/>
      </c>
      <c r="AN31" s="58">
        <f>AN24*Premissas!$F$32</f>
        <v/>
      </c>
      <c r="AO31" s="58">
        <f>AO24*Premissas!$F$32</f>
        <v/>
      </c>
      <c r="AP31" s="58">
        <f>AP24*Premissas!$F$32</f>
        <v/>
      </c>
      <c r="AQ31" s="58">
        <f>AQ24*Premissas!$F$32</f>
        <v/>
      </c>
      <c r="AR31" s="58">
        <f>AR24*Premissas!$F$32</f>
        <v/>
      </c>
      <c r="AS31" s="58">
        <f>AS24*Premissas!$F$32</f>
        <v/>
      </c>
      <c r="AT31" s="58">
        <f>AT24*Premissas!$F$32</f>
        <v/>
      </c>
      <c r="AU31" s="58">
        <f>AU24*Premissas!$F$32</f>
        <v/>
      </c>
      <c r="AV31" s="58">
        <f>AV24*Premissas!$F$32</f>
        <v/>
      </c>
      <c r="AW31" s="58">
        <f>AW24*Premissas!$F$32</f>
        <v/>
      </c>
      <c r="AX31" s="58">
        <f>AX24*Premissas!$F$32</f>
        <v/>
      </c>
      <c r="AY31" s="58">
        <f>AY24*Premissas!$F$32</f>
        <v/>
      </c>
      <c r="AZ31" s="58">
        <f>AZ24*Premissas!$F$32</f>
        <v/>
      </c>
      <c r="BA31" s="58">
        <f>BA24*Premissas!$F$32</f>
        <v/>
      </c>
      <c r="BB31" s="58">
        <f>BB24*Premissas!$F$32</f>
        <v/>
      </c>
      <c r="BC31" s="58">
        <f>BC24*Premissas!$F$32</f>
        <v/>
      </c>
      <c r="BD31" s="58">
        <f>BD24*Premissas!$F$32</f>
        <v/>
      </c>
      <c r="BE31" s="58">
        <f>BE24*Premissas!$F$32</f>
        <v/>
      </c>
      <c r="BF31" s="58">
        <f>BF24*Premissas!$F$32</f>
        <v/>
      </c>
      <c r="BG31" s="58">
        <f>BG24*Premissas!$F$32</f>
        <v/>
      </c>
      <c r="BH31" s="58">
        <f>BH24*Premissas!$F$32</f>
        <v/>
      </c>
      <c r="BI31" s="58">
        <f>BI24*Premissas!$F$32</f>
        <v/>
      </c>
      <c r="BJ31" s="58">
        <f>BJ24*Premissas!$F$32</f>
        <v/>
      </c>
      <c r="BK31" s="58">
        <f>BK24*Premissas!$F$32</f>
        <v/>
      </c>
    </row>
    <row r="32" ht="15" customHeight="1" s="35">
      <c r="A32" s="47" t="inlineStr">
        <is>
          <t>DESPESAS TOTAIS (R$)</t>
        </is>
      </c>
      <c r="B32" s="53" t="inlineStr">
        <is>
          <t>R$</t>
        </is>
      </c>
      <c r="C32" s="59" t="n">
        <v>0</v>
      </c>
      <c r="D32" s="59">
        <f>D27+D28+D29+D30+D31</f>
        <v/>
      </c>
      <c r="E32" s="59">
        <f>E27+E28+E29+E30+E31</f>
        <v/>
      </c>
      <c r="F32" s="59">
        <f>F27+F28+F29+F30+F31</f>
        <v/>
      </c>
      <c r="G32" s="59">
        <f>G27+G28+G29+G30+G31</f>
        <v/>
      </c>
      <c r="H32" s="59">
        <f>H27+H28+H29+H30+H31</f>
        <v/>
      </c>
      <c r="I32" s="59">
        <f>I27+I28+I29+I30+I31</f>
        <v/>
      </c>
      <c r="J32" s="59">
        <f>J27+J28+J29+J30+J31</f>
        <v/>
      </c>
      <c r="K32" s="59">
        <f>K27+K28+K29+K30+K31</f>
        <v/>
      </c>
      <c r="L32" s="59">
        <f>L27+L28+L29+L30+L31</f>
        <v/>
      </c>
      <c r="M32" s="59">
        <f>M27+M28+M29+M30+M31</f>
        <v/>
      </c>
      <c r="N32" s="59">
        <f>N27+N28+N29+N30+N31</f>
        <v/>
      </c>
      <c r="O32" s="59">
        <f>O27+O28+O29+O30+O31</f>
        <v/>
      </c>
      <c r="P32" s="59">
        <f>P27+P28+P29+P30+P31</f>
        <v/>
      </c>
      <c r="Q32" s="59">
        <f>Q27+Q28+Q29+Q30+Q31</f>
        <v/>
      </c>
      <c r="R32" s="59">
        <f>R27+R28+R29+R30+R31</f>
        <v/>
      </c>
      <c r="S32" s="59">
        <f>S27+S28+S29+S30+S31</f>
        <v/>
      </c>
      <c r="T32" s="59">
        <f>T27+T28+T29+T30+T31</f>
        <v/>
      </c>
      <c r="U32" s="59">
        <f>U27+U28+U29+U30+U31</f>
        <v/>
      </c>
      <c r="V32" s="59">
        <f>V27+V28+V29+V30+V31</f>
        <v/>
      </c>
      <c r="W32" s="59">
        <f>W27+W28+W29+W30+W31</f>
        <v/>
      </c>
      <c r="X32" s="59">
        <f>X27+X28+X29+X30+X31</f>
        <v/>
      </c>
      <c r="Y32" s="59">
        <f>Y27+Y28+Y29+Y30+Y31</f>
        <v/>
      </c>
      <c r="Z32" s="59">
        <f>Z27+Z28+Z29+Z30+Z31</f>
        <v/>
      </c>
      <c r="AA32" s="59">
        <f>AA27+AA28+AA29+AA30+AA31</f>
        <v/>
      </c>
      <c r="AB32" s="59">
        <f>AB27+AB28+AB29+AB30+AB31</f>
        <v/>
      </c>
      <c r="AC32" s="59">
        <f>AC27+AC28+AC29+AC30+AC31</f>
        <v/>
      </c>
      <c r="AD32" s="59">
        <f>AD27+AD28+AD29+AD30+AD31</f>
        <v/>
      </c>
      <c r="AE32" s="59">
        <f>AE27+AE28+AE29+AE30+AE31</f>
        <v/>
      </c>
      <c r="AF32" s="59">
        <f>AF27+AF28+AF29+AF30+AF31</f>
        <v/>
      </c>
      <c r="AG32" s="59">
        <f>AG27+AG28+AG29+AG30+AG31</f>
        <v/>
      </c>
      <c r="AH32" s="59">
        <f>AH27+AH28+AH29+AH30+AH31</f>
        <v/>
      </c>
      <c r="AI32" s="59">
        <f>AI27+AI28+AI29+AI30+AI31</f>
        <v/>
      </c>
      <c r="AJ32" s="59">
        <f>AJ27+AJ28+AJ29+AJ30+AJ31</f>
        <v/>
      </c>
      <c r="AK32" s="59">
        <f>AK27+AK28+AK29+AK30+AK31</f>
        <v/>
      </c>
      <c r="AL32" s="59">
        <f>AL27+AL28+AL29+AL30+AL31</f>
        <v/>
      </c>
      <c r="AM32" s="59">
        <f>AM27+AM28+AM29+AM30+AM31</f>
        <v/>
      </c>
      <c r="AN32" s="59">
        <f>AN27+AN28+AN29+AN30+AN31</f>
        <v/>
      </c>
      <c r="AO32" s="59">
        <f>AO27+AO28+AO29+AO30+AO31</f>
        <v/>
      </c>
      <c r="AP32" s="59">
        <f>AP27+AP28+AP29+AP30+AP31</f>
        <v/>
      </c>
      <c r="AQ32" s="59">
        <f>AQ27+AQ28+AQ29+AQ30+AQ31</f>
        <v/>
      </c>
      <c r="AR32" s="59">
        <f>AR27+AR28+AR29+AR30+AR31</f>
        <v/>
      </c>
      <c r="AS32" s="59">
        <f>AS27+AS28+AS29+AS30+AS31</f>
        <v/>
      </c>
      <c r="AT32" s="59">
        <f>AT27+AT28+AT29+AT30+AT31</f>
        <v/>
      </c>
      <c r="AU32" s="59">
        <f>AU27+AU28+AU29+AU30+AU31</f>
        <v/>
      </c>
      <c r="AV32" s="59">
        <f>AV27+AV28+AV29+AV30+AV31</f>
        <v/>
      </c>
      <c r="AW32" s="59">
        <f>AW27+AW28+AW29+AW30+AW31</f>
        <v/>
      </c>
      <c r="AX32" s="59">
        <f>AX27+AX28+AX29+AX30+AX31</f>
        <v/>
      </c>
      <c r="AY32" s="59">
        <f>AY27+AY28+AY29+AY30+AY31</f>
        <v/>
      </c>
      <c r="AZ32" s="59">
        <f>AZ27+AZ28+AZ29+AZ30+AZ31</f>
        <v/>
      </c>
      <c r="BA32" s="59">
        <f>BA27+BA28+BA29+BA30+BA31</f>
        <v/>
      </c>
      <c r="BB32" s="59">
        <f>BB27+BB28+BB29+BB30+BB31</f>
        <v/>
      </c>
      <c r="BC32" s="59">
        <f>BC27+BC28+BC29+BC30+BC31</f>
        <v/>
      </c>
      <c r="BD32" s="59">
        <f>BD27+BD28+BD29+BD30+BD31</f>
        <v/>
      </c>
      <c r="BE32" s="59">
        <f>BE27+BE28+BE29+BE30+BE31</f>
        <v/>
      </c>
      <c r="BF32" s="59">
        <f>BF27+BF28+BF29+BF30+BF31</f>
        <v/>
      </c>
      <c r="BG32" s="59">
        <f>BG27+BG28+BG29+BG30+BG31</f>
        <v/>
      </c>
      <c r="BH32" s="59">
        <f>BH27+BH28+BH29+BH30+BH31</f>
        <v/>
      </c>
      <c r="BI32" s="59">
        <f>BI27+BI28+BI29+BI30+BI31</f>
        <v/>
      </c>
      <c r="BJ32" s="59">
        <f>BJ27+BJ28+BJ29+BJ30+BJ31</f>
        <v/>
      </c>
      <c r="BK32" s="59">
        <f>BK27+BK28+BK29+BK30+BK31</f>
        <v/>
      </c>
    </row>
    <row r="34" ht="15" customHeight="1" s="35">
      <c r="A34" s="46" t="inlineStr">
        <is>
          <t>── RESULTADO ──</t>
        </is>
      </c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42" t="n"/>
      <c r="AB34" s="42" t="n"/>
      <c r="AC34" s="42" t="n"/>
      <c r="AD34" s="42" t="n"/>
      <c r="AE34" s="42" t="n"/>
      <c r="AF34" s="42" t="n"/>
      <c r="AG34" s="42" t="n"/>
      <c r="AH34" s="42" t="n"/>
      <c r="AI34" s="42" t="n"/>
      <c r="AJ34" s="42" t="n"/>
      <c r="AK34" s="42" t="n"/>
      <c r="AL34" s="42" t="n"/>
      <c r="AM34" s="42" t="n"/>
      <c r="AN34" s="42" t="n"/>
      <c r="AO34" s="42" t="n"/>
      <c r="AP34" s="42" t="n"/>
      <c r="AQ34" s="42" t="n"/>
      <c r="AR34" s="42" t="n"/>
      <c r="AS34" s="42" t="n"/>
      <c r="AT34" s="42" t="n"/>
      <c r="AU34" s="42" t="n"/>
      <c r="AV34" s="42" t="n"/>
      <c r="AW34" s="42" t="n"/>
      <c r="AX34" s="42" t="n"/>
      <c r="AY34" s="42" t="n"/>
      <c r="AZ34" s="42" t="n"/>
      <c r="BA34" s="42" t="n"/>
      <c r="BB34" s="42" t="n"/>
      <c r="BC34" s="42" t="n"/>
      <c r="BD34" s="42" t="n"/>
      <c r="BE34" s="42" t="n"/>
      <c r="BF34" s="42" t="n"/>
      <c r="BG34" s="42" t="n"/>
      <c r="BH34" s="42" t="n"/>
      <c r="BI34" s="42" t="n"/>
      <c r="BJ34" s="42" t="n"/>
      <c r="BK34" s="42" t="n"/>
    </row>
    <row r="35" ht="15" customHeight="1" s="35">
      <c r="A35" s="47" t="inlineStr">
        <is>
          <t>LUCRO LÍQUIDO DO MÊS (R$)</t>
        </is>
      </c>
      <c r="B35" s="53" t="inlineStr">
        <is>
          <t>R$</t>
        </is>
      </c>
      <c r="C35" s="59" t="n">
        <v>0</v>
      </c>
      <c r="D35" s="59">
        <f>D24-D32</f>
        <v/>
      </c>
      <c r="E35" s="59">
        <f>E24-E32</f>
        <v/>
      </c>
      <c r="F35" s="59">
        <f>F24-F32</f>
        <v/>
      </c>
      <c r="G35" s="59">
        <f>G24-G32</f>
        <v/>
      </c>
      <c r="H35" s="59">
        <f>H24-H32</f>
        <v/>
      </c>
      <c r="I35" s="59">
        <f>I24-I32</f>
        <v/>
      </c>
      <c r="J35" s="59">
        <f>J24-J32</f>
        <v/>
      </c>
      <c r="K35" s="59">
        <f>K24-K32</f>
        <v/>
      </c>
      <c r="L35" s="59">
        <f>L24-L32</f>
        <v/>
      </c>
      <c r="M35" s="59">
        <f>M24-M32</f>
        <v/>
      </c>
      <c r="N35" s="59">
        <f>N24-N32</f>
        <v/>
      </c>
      <c r="O35" s="59">
        <f>O24-O32</f>
        <v/>
      </c>
      <c r="P35" s="59">
        <f>P24-P32</f>
        <v/>
      </c>
      <c r="Q35" s="59">
        <f>Q24-Q32</f>
        <v/>
      </c>
      <c r="R35" s="59">
        <f>R24-R32</f>
        <v/>
      </c>
      <c r="S35" s="59">
        <f>S24-S32</f>
        <v/>
      </c>
      <c r="T35" s="59">
        <f>T24-T32</f>
        <v/>
      </c>
      <c r="U35" s="59">
        <f>U24-U32</f>
        <v/>
      </c>
      <c r="V35" s="59">
        <f>V24-V32</f>
        <v/>
      </c>
      <c r="W35" s="59">
        <f>W24-W32</f>
        <v/>
      </c>
      <c r="X35" s="59">
        <f>X24-X32</f>
        <v/>
      </c>
      <c r="Y35" s="59">
        <f>Y24-Y32</f>
        <v/>
      </c>
      <c r="Z35" s="59">
        <f>Z24-Z32</f>
        <v/>
      </c>
      <c r="AA35" s="59">
        <f>AA24-AA32</f>
        <v/>
      </c>
      <c r="AB35" s="59">
        <f>AB24-AB32</f>
        <v/>
      </c>
      <c r="AC35" s="59">
        <f>AC24-AC32</f>
        <v/>
      </c>
      <c r="AD35" s="59">
        <f>AD24-AD32</f>
        <v/>
      </c>
      <c r="AE35" s="59">
        <f>AE24-AE32</f>
        <v/>
      </c>
      <c r="AF35" s="59">
        <f>AF24-AF32</f>
        <v/>
      </c>
      <c r="AG35" s="59">
        <f>AG24-AG32</f>
        <v/>
      </c>
      <c r="AH35" s="59">
        <f>AH24-AH32</f>
        <v/>
      </c>
      <c r="AI35" s="59">
        <f>AI24-AI32</f>
        <v/>
      </c>
      <c r="AJ35" s="59">
        <f>AJ24-AJ32</f>
        <v/>
      </c>
      <c r="AK35" s="59">
        <f>AK24-AK32</f>
        <v/>
      </c>
      <c r="AL35" s="59">
        <f>AL24-AL32</f>
        <v/>
      </c>
      <c r="AM35" s="59">
        <f>AM24-AM32</f>
        <v/>
      </c>
      <c r="AN35" s="59">
        <f>AN24-AN32</f>
        <v/>
      </c>
      <c r="AO35" s="59">
        <f>AO24-AO32</f>
        <v/>
      </c>
      <c r="AP35" s="59">
        <f>AP24-AP32</f>
        <v/>
      </c>
      <c r="AQ35" s="59">
        <f>AQ24-AQ32</f>
        <v/>
      </c>
      <c r="AR35" s="59">
        <f>AR24-AR32</f>
        <v/>
      </c>
      <c r="AS35" s="59">
        <f>AS24-AS32</f>
        <v/>
      </c>
      <c r="AT35" s="59">
        <f>AT24-AT32</f>
        <v/>
      </c>
      <c r="AU35" s="59">
        <f>AU24-AU32</f>
        <v/>
      </c>
      <c r="AV35" s="59">
        <f>AV24-AV32</f>
        <v/>
      </c>
      <c r="AW35" s="59">
        <f>AW24-AW32</f>
        <v/>
      </c>
      <c r="AX35" s="59">
        <f>AX24-AX32</f>
        <v/>
      </c>
      <c r="AY35" s="59">
        <f>AY24-AY32</f>
        <v/>
      </c>
      <c r="AZ35" s="59">
        <f>AZ24-AZ32</f>
        <v/>
      </c>
      <c r="BA35" s="59">
        <f>BA24-BA32</f>
        <v/>
      </c>
      <c r="BB35" s="59">
        <f>BB24-BB32</f>
        <v/>
      </c>
      <c r="BC35" s="59">
        <f>BC24-BC32</f>
        <v/>
      </c>
      <c r="BD35" s="59">
        <f>BD24-BD32</f>
        <v/>
      </c>
      <c r="BE35" s="59">
        <f>BE24-BE32</f>
        <v/>
      </c>
      <c r="BF35" s="59">
        <f>BF24-BF32</f>
        <v/>
      </c>
      <c r="BG35" s="59">
        <f>BG24-BG32</f>
        <v/>
      </c>
      <c r="BH35" s="59">
        <f>BH24-BH32</f>
        <v/>
      </c>
      <c r="BI35" s="59">
        <f>BI24-BI32</f>
        <v/>
      </c>
      <c r="BJ35" s="59">
        <f>BJ24-BJ32</f>
        <v/>
      </c>
      <c r="BK35" s="59">
        <f>BK24-BK32</f>
        <v/>
      </c>
    </row>
    <row r="36" ht="15" customHeight="1" s="35">
      <c r="A36" s="47" t="inlineStr">
        <is>
          <t>CAIXA ACUMULADO (R$)</t>
        </is>
      </c>
      <c r="B36" s="53" t="inlineStr">
        <is>
          <t>R$</t>
        </is>
      </c>
      <c r="C36" s="59">
        <f>Premissas!$F$33</f>
        <v/>
      </c>
      <c r="D36" s="59">
        <f>C36+D35</f>
        <v/>
      </c>
      <c r="E36" s="59">
        <f>D36+E35</f>
        <v/>
      </c>
      <c r="F36" s="59">
        <f>E36+F35</f>
        <v/>
      </c>
      <c r="G36" s="59">
        <f>F36+G35</f>
        <v/>
      </c>
      <c r="H36" s="59">
        <f>G36+H35</f>
        <v/>
      </c>
      <c r="I36" s="59">
        <f>H36+I35</f>
        <v/>
      </c>
      <c r="J36" s="59">
        <f>I36+J35</f>
        <v/>
      </c>
      <c r="K36" s="59">
        <f>J36+K35</f>
        <v/>
      </c>
      <c r="L36" s="59">
        <f>K36+L35</f>
        <v/>
      </c>
      <c r="M36" s="59">
        <f>L36+M35</f>
        <v/>
      </c>
      <c r="N36" s="59">
        <f>M36+N35</f>
        <v/>
      </c>
      <c r="O36" s="59">
        <f>N36+O35</f>
        <v/>
      </c>
      <c r="P36" s="59">
        <f>O36+P35</f>
        <v/>
      </c>
      <c r="Q36" s="59">
        <f>P36+Q35</f>
        <v/>
      </c>
      <c r="R36" s="59">
        <f>Q36+R35</f>
        <v/>
      </c>
      <c r="S36" s="59">
        <f>R36+S35</f>
        <v/>
      </c>
      <c r="T36" s="59">
        <f>S36+T35</f>
        <v/>
      </c>
      <c r="U36" s="59">
        <f>T36+U35</f>
        <v/>
      </c>
      <c r="V36" s="59">
        <f>U36+V35</f>
        <v/>
      </c>
      <c r="W36" s="59">
        <f>V36+W35</f>
        <v/>
      </c>
      <c r="X36" s="59">
        <f>W36+X35</f>
        <v/>
      </c>
      <c r="Y36" s="59">
        <f>X36+Y35</f>
        <v/>
      </c>
      <c r="Z36" s="59">
        <f>Y36+Z35</f>
        <v/>
      </c>
      <c r="AA36" s="59">
        <f>Z36+AA35</f>
        <v/>
      </c>
      <c r="AB36" s="59">
        <f>AA36+AB35</f>
        <v/>
      </c>
      <c r="AC36" s="59">
        <f>AB36+AC35</f>
        <v/>
      </c>
      <c r="AD36" s="59">
        <f>AC36+AD35</f>
        <v/>
      </c>
      <c r="AE36" s="59">
        <f>AD36+AE35</f>
        <v/>
      </c>
      <c r="AF36" s="59">
        <f>AE36+AF35</f>
        <v/>
      </c>
      <c r="AG36" s="59">
        <f>AF36+AG35</f>
        <v/>
      </c>
      <c r="AH36" s="59">
        <f>AG36+AH35</f>
        <v/>
      </c>
      <c r="AI36" s="59">
        <f>AH36+AI35</f>
        <v/>
      </c>
      <c r="AJ36" s="59">
        <f>AI36+AJ35</f>
        <v/>
      </c>
      <c r="AK36" s="59">
        <f>AJ36+AK35</f>
        <v/>
      </c>
      <c r="AL36" s="59">
        <f>AK36+AL35</f>
        <v/>
      </c>
      <c r="AM36" s="59">
        <f>AL36+AM35</f>
        <v/>
      </c>
      <c r="AN36" s="59">
        <f>AM36+AN35</f>
        <v/>
      </c>
      <c r="AO36" s="59">
        <f>AN36+AO35</f>
        <v/>
      </c>
      <c r="AP36" s="59">
        <f>AO36+AP35</f>
        <v/>
      </c>
      <c r="AQ36" s="59">
        <f>AP36+AQ35</f>
        <v/>
      </c>
      <c r="AR36" s="59">
        <f>AQ36+AR35</f>
        <v/>
      </c>
      <c r="AS36" s="59">
        <f>AR36+AS35</f>
        <v/>
      </c>
      <c r="AT36" s="59">
        <f>AS36+AT35</f>
        <v/>
      </c>
      <c r="AU36" s="59">
        <f>AT36+AU35</f>
        <v/>
      </c>
      <c r="AV36" s="59">
        <f>AU36+AV35</f>
        <v/>
      </c>
      <c r="AW36" s="59">
        <f>AV36+AW35</f>
        <v/>
      </c>
      <c r="AX36" s="59">
        <f>AW36+AX35</f>
        <v/>
      </c>
      <c r="AY36" s="59">
        <f>AX36+AY35</f>
        <v/>
      </c>
      <c r="AZ36" s="59">
        <f>AY36+AZ35</f>
        <v/>
      </c>
      <c r="BA36" s="59">
        <f>AZ36+BA35</f>
        <v/>
      </c>
      <c r="BB36" s="59">
        <f>BA36+BB35</f>
        <v/>
      </c>
      <c r="BC36" s="59">
        <f>BB36+BC35</f>
        <v/>
      </c>
      <c r="BD36" s="59">
        <f>BC36+BD35</f>
        <v/>
      </c>
      <c r="BE36" s="59">
        <f>BD36+BE35</f>
        <v/>
      </c>
      <c r="BF36" s="59">
        <f>BE36+BF35</f>
        <v/>
      </c>
      <c r="BG36" s="59">
        <f>BF36+BG35</f>
        <v/>
      </c>
      <c r="BH36" s="59">
        <f>BG36+BH35</f>
        <v/>
      </c>
      <c r="BI36" s="59">
        <f>BH36+BI35</f>
        <v/>
      </c>
      <c r="BJ36" s="59">
        <f>BI36+BJ35</f>
        <v/>
      </c>
      <c r="BK36" s="59">
        <f>BJ36+BK35</f>
        <v/>
      </c>
    </row>
  </sheetData>
  <mergeCells count="5">
    <mergeCell ref="P3:AA3"/>
    <mergeCell ref="D3:O3"/>
    <mergeCell ref="AB3:AM3"/>
    <mergeCell ref="AZ3:BK3"/>
    <mergeCell ref="AN3:AY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2026-08-10T11:51:42Z</dcterms:created>
  <dcterms:modified xsi:type="dcterms:W3CDTF">2026-09-08T00:33:34Z</dcterms:modified>
  <cp:revision>0</cp:revision>
</cp:coreProperties>
</file>