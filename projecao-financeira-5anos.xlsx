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missas" sheetId="2" state="visible" r:id="rId4"/>
    <sheet name="Pessimista" sheetId="3" state="visible" r:id="rId5"/>
    <sheet name="Realista" sheetId="4" state="visible" r:id="rId6"/>
    <sheet name="Otimista" sheetId="5" state="visible" r:id="rId7"/>
    <sheet name="Resumo Anual" sheetId="6" state="visible" r:id="rId8"/>
    <sheet name="Comissionamento" sheetId="7" state="visible" r:id="rId9"/>
    <sheet name="Sugestões de Cresciment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<sst xmlns="http://schemas.openxmlformats.org/spreadsheetml/2006/main" count="524" uniqueCount="249">
  <si>
    <t xml:space="preserve">Projeção Financeira 5 Anos — Neural Day Trader</t>
  </si>
  <si>
    <t xml:space="preserve">Reconstruída em 2026-08-10 a partir dos preços REAIS da landing page. Não existia arquivo rastreável anterior no repositório — a versão citada em PLANEJAMENTO-LANCAMENTO-NEURAL-DAY-TRADER.md era só um resumo em texto de uma sessão de planejamento (11/07/2026), nunca uma planilha auditável.</t>
  </si>
  <si>
    <t xml:space="preserve">Como usar</t>
  </si>
  <si>
    <t xml:space="preserve">Células em AZUL são premissas editáveis — mude-as na aba 'Premissas' e todo o resto recalcula.</t>
  </si>
  <si>
    <t xml:space="preserve">Células em PRETO são fórmulas — não editar diretamente, elas recalculam sozinhas.</t>
  </si>
  <si>
    <t xml:space="preserve">Células em VERDE são links pra outra aba (ex: Resumo Anual puxando das abas de cenário).</t>
  </si>
  <si>
    <t xml:space="preserve">Fundo AMARELO marca a premissa mais sensível de cada bloco — a que mais muda o resultado se você testar cenários.</t>
  </si>
  <si>
    <t xml:space="preserve">Estrutura do arquivo</t>
  </si>
  <si>
    <t xml:space="preserve">• Premissas — todos os inputs dos 3 cenários lado a lado, com a fonte/base de cada número.</t>
  </si>
  <si>
    <t xml:space="preserve">• Pessimista / Realista / Otimista — modelo mês a mês (mês 0 a mês 60 = 5 anos completos), 100% fórmula.</t>
  </si>
  <si>
    <t xml:space="preserve">• Resumo Anual — os 3 cenários consolidados por Ano 1..5, lado a lado, pra comparação rápida.</t>
  </si>
  <si>
    <t xml:space="preserve">• Comissionamento — proposta de modelo de comissão realinhada com prática de mercado (ver pergunta do Cleber).</t>
  </si>
  <si>
    <t xml:space="preserve">• Sugestões de Crescimento — alavancas concretas discutidas pra crescimento exponencial e lucro.</t>
  </si>
  <si>
    <t xml:space="preserve">O que é MEDIDO vs. o que é PREMISSA (regra do projeto: nunca fabricar dado como se fosse real)</t>
  </si>
  <si>
    <t xml:space="preserve">MEDIDO — fato, não estimativa: os 4 preços de mensalidade (Starter R$0, Pro R$199, Institutional R$399, Syndicate sob medida) vêm direto de src/app/components/landing/translations.ts:106-132, o código que roda na landing page hoje. Não há preço público do Syndicate Core — não entra como receita recorrente no modelo, só é citado como oportunidade B2B avulsa na aba de sugestões.</t>
  </si>
  <si>
    <t xml:space="preserve">PREMISSA — sem dado real ainda, produto não lançado publicamente: taxa de conversão Starter→Pago, churn mensal, crescimento de cadastros, lotes negociados por usuário, CAC, mix de tier. Todas em azul na aba Premissas, com a base de cada número (pesquisa anterior do projeto, benchmark público de mercado, ou julgamento explícito do modelo — nunca apresentadas como medidas).</t>
  </si>
  <si>
    <t xml:space="preserve">Recalcule sempre que os preços da landing mudarem — troque só a aba Premissas, linhas 1-2.</t>
  </si>
  <si>
    <t xml:space="preserve">Recalcule sempre que houver dado real de conversão/churn dos primeiros usuários pagantes — substitua a premissa por medição real assim que existir (mesma disciplina do resto do projeto: CostModel.ts recalibra assim que há execução real medida).</t>
  </si>
  <si>
    <t xml:space="preserve">Premissas do Modelo Financeiro — 3 Cenários</t>
  </si>
  <si>
    <t xml:space="preserve">Premissa</t>
  </si>
  <si>
    <t xml:space="preserve">Pessimista</t>
  </si>
  <si>
    <t xml:space="preserve">Realista</t>
  </si>
  <si>
    <t xml:space="preserve">Otimista</t>
  </si>
  <si>
    <t xml:space="preserve">Fonte / base do número</t>
  </si>
  <si>
    <t xml:space="preserve">── PREÇOS (medidos — landing page) ──</t>
  </si>
  <si>
    <t xml:space="preserve">Preço mensalidade Node: Pro (R$/mês)</t>
  </si>
  <si>
    <t xml:space="preserve">MEDIDO. translations.ts:114 — 'Node: Pro', price: 'R$199,00'. Igual nos 3 cenários (preço da landing não varia por cenário de crescimento).</t>
  </si>
  <si>
    <t xml:space="preserve">Preço mensalidade Node: Institutional (R$/mês)</t>
  </si>
  <si>
    <t xml:space="preserve">MEDIDO. translations.ts:121 — 'Node: Institutional', price: 'R$399,00'.</t>
  </si>
  <si>
    <t xml:space="preserve">── FUNIL (premissa — sem dado real, produto não lançado) ──</t>
  </si>
  <si>
    <t xml:space="preserve">Novos cadastros Starter no mês 1 (qtd)</t>
  </si>
  <si>
    <t xml:space="preserve">PREMISSA. Ordem de grandeza herdada do plano de 11/07 (5-25 pess / 10-80 real / 25-200 otim novos usuários/mês), mas agora como TOPO de funil (cadastro grátis), não usuário pagante direto.</t>
  </si>
  <si>
    <t xml:space="preserve">Crescimento mensal de novos cadastros (%)</t>
  </si>
  <si>
    <t xml:space="preserve">PREMISSA — decisão de modelagem p/ atender pedido de 'crescimento exponencial': crescimento composto mês a mês em vez do ritmo linear do plano de 11/07. 2%/mês pessimista a 8%/mês otimista são faixas típicas de SaaS em tração inicial via marketing de performance + comunidade — não é medição, é meta de modelagem.</t>
  </si>
  <si>
    <t xml:space="preserve">Teto de novos cadastros/mês — saturação de mercado (qtd)</t>
  </si>
  <si>
    <t xml:space="preserve">⚠️ CORREÇÃO — sem este teto, 8%/mês composto por 60 meses (Otimista) gerava &gt;15.000 novos cadastros NO ÚLTIMO MÊS sozinho e R$217 milhões de faturamento em 5 anos — matematicamente correto, mas fora de qualquer mercado real pro nicho (trading de varejo automatizado no Brasil). PREMISSA de bom senso, não medição: ordem de grandeza de TAM plausível pro nicho, crescimento composto se aplica só até bater o teto, depois estabiliza. Recalibrar assim que houver dado real de mercado endereçável (tamanho da base de traders de varejo ativos no Brasil que operam MT5/CFD).</t>
  </si>
  <si>
    <t xml:space="preserve">Taxa de conversão Starter → Pago (%, defasagem de 2 meses)</t>
  </si>
  <si>
    <t xml:space="preserve">PREMISSA. Benchmark de mercado p/ SaaS freemium com valor demonstrável rápido costuma ficar 2-5% (free→paid); o realista já usava o topo dessa faixa (Starter entrega sinal validado de verdade, não 'feature capada'). ⚠️ AJUSTADO 2026-08-10: Realista 6%→8% — acima do benchmark genérico de SaaS, assume gatilho de conversão orientado por produto (ver aba 'Sugestões de Crescimento' item 2: prompt no momento exato de dor — sinal que teria sido lucrativo mas não pôde executar automático), não só tempo de uso passivo. Requer instrumentar esse gatilho antes do lançamento pra sustentar — se não for construído, volte pra 6%. Pessimista mantido em 3% de propósito: representa o cenário sem esse gatilho funcionando.</t>
  </si>
  <si>
    <t xml:space="preserve">Mix Pro entre novos pagantes (%) [resto vai pra Institutional]</t>
  </si>
  <si>
    <t xml:space="preserve">PREMISSA. Reaproveita o mix Pro/Institutional já usado na correção de 2026-08-10 do plano de 11/07 (PLANEJAMENTO-LANCAMENTO-NEURAL-DAY-TRADER.md §3.1) — Institutional tem selo 'Recommended' na landing, então a fração de Institutional cresce nos cenários mais otimistas de captação qualificada.</t>
  </si>
  <si>
    <t xml:space="preserve">Churn mensal Node: Starter — abandono do cadastro grátis (%)</t>
  </si>
  <si>
    <t xml:space="preserve">PREMISSA. Free tier tem churn/abandono normalmente mais alto que tier pago (sem fricção de cancelamento, sem sunk cost) — faixa 9-15%/mês é conservadora pro setor de ferramentas de trading.</t>
  </si>
  <si>
    <t xml:space="preserve">Churn mensal Pago (Pro + Institutional) (%)</t>
  </si>
  <si>
    <t xml:space="preserve">PREMISSA. Plano de 11/07 já assumia 8%/6%/4% pess/real/otim (mesma linha, mantida) — nota do próprio plano: 'pessimista honesto seria 12-15%/mês' pro varejo de trading em geral; mantemos a faixa original por ainda não termos dado de retenção real do produto pago.</t>
  </si>
  <si>
    <t xml:space="preserve">── VOLUME DE OPERAÇÃO (premissa) ──</t>
  </si>
  <si>
    <t xml:space="preserve">Lotes negociados/mês por usuário Pago</t>
  </si>
  <si>
    <t xml:space="preserve">PREMISSA. Sem dado de execução real ainda (o runner 24/7 está em telemetria, 0 trades reais até 08-10 — ver NEXT_SESSION.md). Ordem de grandeza de um trader ativo de varejo intraday/swing operando com disciplina (poucos lotes, não overtrading) — deliberadamente conservador.</t>
  </si>
  <si>
    <t xml:space="preserve">Lotes negociados/mês por usuário Starter (execução manual)</t>
  </si>
  <si>
    <t xml:space="preserve">PREMISSA. Starter só tem execução MANUAL guiada por alerta (translations.ts:110) — volume bem menor que os tiers com automação (Pro/Institutional).</t>
  </si>
  <si>
    <t xml:space="preserve">── COMISSÃO E REBATE (ver aba 'Comissionamento' p/ a proposta completa) ──</t>
  </si>
  <si>
    <t xml:space="preserve">Comissão própria por lote — cobrada em TODOS os tiers (R$)</t>
  </si>
  <si>
    <t xml:space="preserve">DECISÃO DE MODELO realinhada com mercado — ver aba Comissionamento. Cobrada sobre todo o volume operado, Starter + Pro + Institutional (decisão explícita do Cleber em 2026-08-10). ⚠️ AJUSTADO 2026-08-10 (2ª correção, mesma sessão): R$30→R$40/lote (≈US$8/lote) — ainda dentro do benchmark cTrader ECN (US$4-8/lote) citado no plano de 11/07, agora no teto da faixa em vez do meio, como parte do pacote de alavancas pra alcançar lucro no Ano 1 (pedido do Cleber — ver aba Comissionamento §'Plano de lucro Ano 1'). Igual nos 3 cenários — é política de preço.</t>
  </si>
  <si>
    <t xml:space="preserve">Rebate IB por lote — já convertido em R$ (R$/lote)</t>
  </si>
  <si>
    <t xml:space="preserve">PREMISSA ancorada em research anterior do projeto (PLANEJAMENTO-LANCAMENTO §3: rebate IB US$4/6/8 por lote, INFINOX Partners paga até US$20/lote) convertido a ~R$5,05/US$1. ⚠️ AJUSTADO 2026-08-10: +R$10/lote em cada cenário (R$15/25/35 → R$25/35/45) — assume negociação de rebate mais agressiva com a corretora desde o lançamento (ainda abaixo do teto de US$20/lote que a Infinox Partners paga pra parceiros com volume) — parte do pacote pra lucro no Ano 1. Requer negociação real com a corretora antes do lançamento, não é automático.</t>
  </si>
  <si>
    <t xml:space="preserve">Receita marketplace líquida por usuário Pago/mês (R$)</t>
  </si>
  <si>
    <t xml:space="preserve">PREMISSA. Mesma base do plano de 11/07 (US$0,50-2,00 líquido/usuário/mês, MQL5 retém ~25%), convertida a R$ e só aplicada sobre usuários pagantes (Starter não tem acesso ao catálogo completo — translations.ts:110 vs 124).</t>
  </si>
  <si>
    <t xml:space="preserve">── CUSTOS (premissa/orçamento) ──</t>
  </si>
  <si>
    <t xml:space="preserve">CAC — custo de aquisição por novo cadastro (R$)</t>
  </si>
  <si>
    <t xml:space="preserve">PREMISSA. Plano de 11/07 §4 furo #2 já alertava 'aquisição em trading de varejo custa R$100-400/usuário' — aplicado sobre CADASTROS (topo de funil), não só pagantes, porque o CAC é pago no clique/lead, converta ou não. ⚠️ AJUSTADO 2026-08-10: R$180/220/260 → R$90/110/130 (metade) — CAC era o maior custo isolado do Ano 1 (46% das despesas no cenário Realista original). A redução assume migrar aquisição de mídia paga pura pra um mix mais barato: comunidade/conteúdo educacional + programa de indicação entre usuários pagantes (ver aba 'Sugestões de Crescimento', item 5) — EXECUÇÃO REAL necessária pra sustentar esse número, não acontece sozinho. Se a aquisição ficar só em mídia paga, volte pro valor original (R$180-260).</t>
  </si>
  <si>
    <t xml:space="preserve">Custo de infraestrutura por usuário ativo total/mês (R$)</t>
  </si>
  <si>
    <t xml:space="preserve">MEDIDO/citado no próprio plano (§1: 'cada usuário custa R$25-30/mês de API') — usamos o ponto médio da faixa já registrada, igual nos 3 cenários (custo de API não muda com o cenário de crescimento, só o volume de usuários muda).</t>
  </si>
  <si>
    <t xml:space="preserve">Pagantes por funcionário adicional (degrau de equipe)</t>
  </si>
  <si>
    <t xml:space="preserve">PREMISSA. Plano de 11/07 §4 furo #2: '~1 pessoa por 300-500 usuários'. ⚠️ AJUSTADO 2026-08-10: degrau esticado (500/400/300 → 700/600/450) — atrasa a 1ª contratação além do fundador pra reduzir custo fixo no Ano 1, assumindo que suporte/onboarding inicial é feito pelo próprio Cleber até a base pagante justificar contratação. Recalibrar assim que a carga de suporte real exigir.</t>
  </si>
  <si>
    <t xml:space="preserve">Custo mensal por funcionário (R$, CLT completo)</t>
  </si>
  <si>
    <t xml:space="preserve">PREMISSA — salário + encargos de um perfil suporte/CS júnior-pleno em SP, não pesquisado neste modelo (igual nos 3 cenários). Recalibrar com RH real antes de contratar.</t>
  </si>
  <si>
    <t xml:space="preserve">Custos fixos administrativos mensais (R$) — contador, ferramentas, jurídico recorrente</t>
  </si>
  <si>
    <t xml:space="preserve">PREMISSA ancorada no plano de 11/07 §1: 'Jurídico/contador R$3.000-6.000/ano recorrente' + parte do bloco de Segurança recorrente (R$0-1.200). ⚠️ AJUSTADO 2026-08-10: R$3.000/4.500/6.000 → R$2.000/3.000/4.000 — lançamento mais enxuto (contador simples + ferramentas essenciais, adiar gasto discricionário até o caixa permitir), parte do pacote de lucro no Ano 1.</t>
  </si>
  <si>
    <t xml:space="preserve">Alíquota efetiva de imposto sobre faturamento — Simples Nacional (%)</t>
  </si>
  <si>
    <t xml:space="preserve">PREMISSA ancorada no plano de 11/07 §4 furo #1: 'Simples ~6-15,5% do faturamento' — usamos o ponto baixo da faixa pro cenário de menor faturamento (Simples é progressivo por faixa de receita) e o ponto alto pro cenário de maior faturamento.</t>
  </si>
  <si>
    <t xml:space="preserve">Investimento inicial de lançamento (R$, saída no Mês 0)</t>
  </si>
  <si>
    <t xml:space="preserve">MEDIDO/citado no plano de 11/07 §1: 'Cenário enxuto (piloto controlado): ~R$21 mil'. Igual nos 3 cenários — o custo de lançar não muda com o cenário de tração pós-lançamento.</t>
  </si>
  <si>
    <t xml:space="preserve">Cenário Pessimista — Projeção Mês a Mês (Lançamento + 60 meses = 5 anos)</t>
  </si>
  <si>
    <t xml:space="preserve">Todas as células desta aba são fórmula. Premissas (azul) ficam só na aba 'Premissas'.</t>
  </si>
  <si>
    <t xml:space="preserve">Métrica</t>
  </si>
  <si>
    <t xml:space="preserve">Unid.</t>
  </si>
  <si>
    <t xml:space="preserve">Lança-
mento</t>
  </si>
  <si>
    <t xml:space="preserve">Ano 1</t>
  </si>
  <si>
    <t xml:space="preserve">Ano 2</t>
  </si>
  <si>
    <t xml:space="preserve">Ano 3</t>
  </si>
  <si>
    <t xml:space="preserve">Ano 4</t>
  </si>
  <si>
    <t xml:space="preserve">Ano 5</t>
  </si>
  <si>
    <t xml:space="preserve">── FUNIL DE USUÁRIOS ──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</si>
  <si>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</si>
  <si>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</si>
  <si>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</si>
  <si>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</si>
  <si>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</si>
  <si>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</si>
  <si>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</si>
  <si>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</si>
  <si>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</si>
  <si>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</si>
  <si>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</si>
  <si>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</si>
  <si>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</si>
  <si>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</si>
  <si>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</si>
  <si>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</si>
  <si>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</si>
  <si>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</si>
  <si>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</si>
  <si>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</si>
  <si>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</si>
  <si>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</si>
  <si>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</si>
  <si>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</si>
  <si>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</si>
  <si>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</si>
  <si>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</si>
  <si>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</si>
  <si>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</si>
  <si>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</si>
  <si>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</si>
  <si>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</si>
  <si>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</si>
  <si>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</si>
  <si>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</si>
  <si>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</si>
  <si>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</si>
  <si>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</si>
  <si>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</si>
  <si>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</si>
  <si>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</si>
  <si>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</si>
  <si>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</si>
  <si>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</si>
  <si>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</si>
  <si>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</si>
  <si>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</si>
  <si>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</si>
  <si>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</si>
  <si>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</si>
  <si>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</si>
  <si>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</si>
  <si>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</si>
  <si>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</si>
  <si>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</si>
  <si>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</si>
  <si>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</si>
  <si>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</si>
  <si>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</si>
  <si>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</si>
  <si>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</si>
  <si>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Novos cadastros Node: Starter (qtd)</t>
  </si>
  <si>
    <t xml:space="preserve">qtd</t>
  </si>
  <si>
    <t xml:space="preserve">Convertidos Starter → Pago no mês (qtd)</t>
  </si>
  <si>
    <t xml:space="preserve">Node: Starter ativos (qtd)</t>
  </si>
  <si>
    <t xml:space="preserve">Novos pagantes Node: Pro no mês (qtd)</t>
  </si>
  <si>
    <t xml:space="preserve">Novos pagantes Node: Institutional no mês (qtd)</t>
  </si>
  <si>
    <t xml:space="preserve">Node: Pro ativos (qtd)</t>
  </si>
  <si>
    <t xml:space="preserve">Node: Institutional ativos (qtd)</t>
  </si>
  <si>
    <t xml:space="preserve">Total pagantes ativos — Pro + Institutional (qtd)</t>
  </si>
  <si>
    <t xml:space="preserve">Total usuários ativos — Starter + pagantes (qtd)</t>
  </si>
  <si>
    <t xml:space="preserve">── RECEITA ──</t>
  </si>
  <si>
    <t xml:space="preserve">Receita mensalidade Node: Pro (R$)</t>
  </si>
  <si>
    <t xml:space="preserve">R$</t>
  </si>
  <si>
    <t xml:space="preserve">Receita mensalidade Node: Institutional (R$)</t>
  </si>
  <si>
    <t xml:space="preserve">Lotes negociados no mês — Pro+Institutional (lotes)</t>
  </si>
  <si>
    <t xml:space="preserve">lotes</t>
  </si>
  <si>
    <t xml:space="preserve">Lotes negociados no mês — Starter (lotes)</t>
  </si>
  <si>
    <t xml:space="preserve">Receita comissão própria — só sobre volume Starter (R$)</t>
  </si>
  <si>
    <t xml:space="preserve">Receita rebate IB — sobre todo o volume (R$)</t>
  </si>
  <si>
    <t xml:space="preserve">Receita marketplace (R$)</t>
  </si>
  <si>
    <t xml:space="preserve">RECEITA TOTAL (R$)</t>
  </si>
  <si>
    <t xml:space="preserve">── CUSTOS ──</t>
  </si>
  <si>
    <t xml:space="preserve">Custo de infraestrutura variável (R$)</t>
  </si>
  <si>
    <t xml:space="preserve">Custo de equipe (R$)</t>
  </si>
  <si>
    <t xml:space="preserve">CAC do mês — aquisição de novos cadastros (R$)</t>
  </si>
  <si>
    <t xml:space="preserve">Custos fixos administrativos (R$)</t>
  </si>
  <si>
    <t xml:space="preserve">Impostos — Simples Nacional (R$)</t>
  </si>
  <si>
    <t xml:space="preserve">DESPESAS TOTAIS (R$)</t>
  </si>
  <si>
    <t xml:space="preserve">── RESULTADO ──</t>
  </si>
  <si>
    <t xml:space="preserve">LUCRO LÍQUIDO DO MÊS (R$)</t>
  </si>
  <si>
    <t xml:space="preserve">CAIXA ACUMULADO (R$)</t>
  </si>
  <si>
    <t xml:space="preserve">Cenário Realista — Projeção Mês a Mês (Lançamento + 60 meses = 5 anos)</t>
  </si>
  <si>
    <t xml:space="preserve">Cenário Otimista — Projeção Mês a Mês (Lançamento + 60 meses = 5 anos)</t>
  </si>
  <si>
    <t xml:space="preserve">Resumo Anual — Ano 1 a Ano 5, os 3 cenários lado a lado</t>
  </si>
  <si>
    <t xml:space="preserve">Pessimista
Ano 1</t>
  </si>
  <si>
    <t xml:space="preserve">Pessimista
Ano 2</t>
  </si>
  <si>
    <t xml:space="preserve">Pessimista
Ano 3</t>
  </si>
  <si>
    <t xml:space="preserve">Pessimista
Ano 4</t>
  </si>
  <si>
    <t xml:space="preserve">Pessimista
Ano 5</t>
  </si>
  <si>
    <t xml:space="preserve">Realista
Ano 1</t>
  </si>
  <si>
    <t xml:space="preserve">Realista
Ano 2</t>
  </si>
  <si>
    <t xml:space="preserve">Realista
Ano 3</t>
  </si>
  <si>
    <t xml:space="preserve">Realista
Ano 4</t>
  </si>
  <si>
    <t xml:space="preserve">Realista
Ano 5</t>
  </si>
  <si>
    <t xml:space="preserve">Otimista
Ano 1</t>
  </si>
  <si>
    <t xml:space="preserve">Otimista
Ano 2</t>
  </si>
  <si>
    <t xml:space="preserve">Otimista
Ano 3</t>
  </si>
  <si>
    <t xml:space="preserve">Otimista
Ano 4</t>
  </si>
  <si>
    <t xml:space="preserve">Otimista
Ano 5</t>
  </si>
  <si>
    <t xml:space="preserve">Novos cadastros Starter no ano (qtd)</t>
  </si>
  <si>
    <t xml:space="preserve">Pagantes ativos no fim do ano — Pro+Institutional (qtd)</t>
  </si>
  <si>
    <t xml:space="preserve">Usuários ativos no fim do ano — total (qtd)</t>
  </si>
  <si>
    <t xml:space="preserve">RECEITA TOTAL no ano (R$)</t>
  </si>
  <si>
    <t xml:space="preserve">DESPESAS TOTAIS no ano (R$)</t>
  </si>
  <si>
    <t xml:space="preserve">LUCRO LÍQUIDO do ano (R$)</t>
  </si>
  <si>
    <t xml:space="preserve">CAIXA ACUMULADO no fim do ano (R$)</t>
  </si>
  <si>
    <t xml:space="preserve">Comparativo — Total 5 anos (soma Ano1..Ano5 de faturamento/lucro; caixa e pagantes = fim do Ano 5)</t>
  </si>
  <si>
    <t xml:space="preserve">Faturamento total 5 anos (R$)</t>
  </si>
  <si>
    <t xml:space="preserve">Despesas totais 5 anos (R$)</t>
  </si>
  <si>
    <t xml:space="preserve">Lucro líquido total 5 anos (R$)</t>
  </si>
  <si>
    <t xml:space="preserve">Caixa acumulado — fim do Ano 5 (R$)</t>
  </si>
  <si>
    <t xml:space="preserve">Pagantes ativos — fim do Ano 5 (qtd)</t>
  </si>
  <si>
    <t xml:space="preserve">Usuários ativos totais — fim do Ano 5 (qtd)</t>
  </si>
  <si>
    <t xml:space="preserve">1º mês com lucro líquido positivo</t>
  </si>
  <si>
    <t xml:space="preserve">Modelo de Comissionamento — Proposta Realinhada com Prática de Mercado</t>
  </si>
  <si>
    <t xml:space="preserve">Decisão implementada neste modelo</t>
  </si>
  <si>
    <t xml:space="preserve">DECISÃO (2026-08-10): comissão própria da plataforma cobrada sobre TODO o volume operado — Node: Starter, Node: Pro e Node: Institutional, sem diferenciação por tier. Modelado na aba Premissas, linha 'Comissão própria por lote', mesmo valor nos 3 cenários (R$30/lote ≈ US$6/lote) por ser política de preço, não projeção de crescimento.</t>
  </si>
  <si>
    <t xml:space="preserve">Base de mercado do valor (US$6/lote)</t>
  </si>
  <si>
    <t xml:space="preserve">US$6/lote padrão (US$0,06 por 0,01 lote) — pesquisa original do plano de 11/07/2026 (PLANEJAMENTO-LANCAMENTO-NEURAL-DAY-TRADER.md §3), ancorada em comissões ECN cTrader (US$4-8/lote, fontes: ForexBrokers.com, FP Markets) e ~15-20% abaixo do que a Infinox cobra na própria conta ECN (US$7-7,50/lote). Isso é o valor que MERCADO pratica pra uma plataforma que intermedia execução — não é um número inventado.</t>
  </si>
  <si>
    <t xml:space="preserve">Rebate IB — a segunda fonte, invisível ao trader</t>
  </si>
  <si>
    <t xml:space="preserve">Rebate IB (Introducing Broker) é uma fonte SEPARADA de receita, paga pela CORRETORA — não pelo trader — sobre o mesmo volume. A Infinox Partners paga até US$20/lote de rebate IB, negociável por instrumento/volume. O modelo usa R$15/25/35 por lote (pess/real/otim), convertido de ~US$4/6/8, que é o intervalo TÍPICO de mercado pra parceiros novos sem volume negociado ainda — não o teto de US$20 (isso exigiria volume/negociação que a plataforma não tem no lançamento).</t>
  </si>
  <si>
    <t xml:space="preserve">⚠️ ALERTA que já existia no projeto — mantido de propósito, não removido</t>
  </si>
  <si>
    <t xml:space="preserve">Comissão própria (US$6/lote) + custo de execução na corretora (spread/comissão ECN, US$7-7,50/lote na Infinox) = custo empilhado de ~US$13/lote pro trader, quase 2x uma conta ECN pura sem intermediário. O plano de 11/07 já registrava esse alerta e recomendava ZERAR a comissão própria, vivendo só de mensalidade + rebate (que não tem essa fricção — quem paga é a corretora). A decisão desta sessão (cobrar em todos os tiers) reabre esse risco de propósito — registrado aqui pra ficar visível, não escondido.</t>
  </si>
  <si>
    <t xml:space="preserve">Recomendações de acompanhamento (não implementadas — decisão do Cleber)</t>
  </si>
  <si>
    <t xml:space="preserve">1) Monitorar churn de usuários de alto volume (heavy traders) especificamente — são os mais sensíveis a esse custo empilhado e os que mais geram receita por lote; perder esse segmento por causa da comissão própria custaria caro. 2) Testar a alternativa 'zerar comissão própria' trocando a célula da aba Premissas pra R$0 e comparando o Lucro Líquido Total 5 anos na aba Resumo Anual — a comissão própria é só ~13% da receita projetada no plano original (mensalidade 64-78%, rebate 8-19%), então o modelo é sensível o suficiente pra esse teste valer a pena antes do lançamento público. 3) Se mantida em todos os tiers, considerar comunicar isso claramente na landing/termos — cobrar comissão sem transparência é o tipo de prática que gera reclamação e atrito com CVM (ver PLANEJAMENTO-LANCAMENTO §6, riscos jurídicos já mapeados).</t>
  </si>
  <si>
    <t xml:space="preserve">Fontes</t>
  </si>
  <si>
    <t xml:space="preserve">Fontes já citadas no plano de 11/07, reaproveitadas aqui sem nova pesquisa: FBS Academy (rebates IB), CashbackForex e PaybackFX (rebates de mercado), ForexBrokers.com e FP Markets (comissões cTrader ECN), INFINOX Partners (programa IB oficial da corretora de referência do projeto).</t>
  </si>
  <si>
    <t xml:space="preserve">── Plano de lucro no Ano 1 (adicionado 2026-08-10, pedido do Cleber) ──</t>
  </si>
  <si>
    <t xml:space="preserve">Contexto</t>
  </si>
  <si>
    <t xml:space="preserve">O modelo original (mensalidade real + CAC/comissão/rebate do plano de 11/07 sem ajuste) fechava os 3 cenários no vermelho no Ano 1 — Pessimista e Realista continuavam negativos até o Ano 2-3. O Cleber pediu explicitamente uma operação que já dê lucro no Ano 1. Testado na planilha (não estimado a mão): o pacote de 6 mudanças abaixo, aplicado nas 3 primeiras premissas marcadas 'AJUSTADO 2026-08-10' na aba Premissas, LEVA Realista e Otimista a lucro positivo já no Ano 1.</t>
  </si>
  <si>
    <t xml:space="preserve">As 6 alavancas</t>
  </si>
  <si>
    <t xml:space="preserve">1) CAC caiu pela metade (R$180/220/260 → R$90/110/130) — era o maior custo isolado do Ano 1 (46% das despesas no Realista original). 2) Comissão própria subiu de R$30 pra R$40/lote (ainda dentro do benchmark cTrader ECN). 3) Rebate IB subiu +R$10/lote em cada cenário (ainda abaixo do teto de US$20/lote que a Infinox Partners paga). 4) Custos fixos administrativos caíram ~33% (lançamento mais enxuto). 5) Degrau de contratação esticado (atrasa a 1ª contratação além do fundador). 6) Conversão Starter→Pago do Realista subiu de 6% pra 8% (assume gatilho de conversão orientado por produto, não só tempo passivo).</t>
  </si>
  <si>
    <t xml:space="preserve">Resultado medido na planilha (aba Resumo Anual)</t>
  </si>
  <si>
    <t xml:space="preserve">Realista: lucro Ano 1 = R$19.379 (era −R$263.432). Otimista: lucro Ano 1 = R$1.070.865 (era R$292.259 — já era positivo, ficou bem melhor). Pessimista: prejuízo Ano 1 caiu de −R$235.943 pra −R$161.737 — MELHOROU mas continua negativo, e isso é esperado, não é falha do ajuste.</t>
  </si>
  <si>
    <t xml:space="preserve">⚠️ Por que o Pessimista continua no vermelho de propósito</t>
  </si>
  <si>
    <t xml:space="preserve">Se o Pessimista também virasse lucrativo com esses mesmos ajustes, ele deixaria de representar 'as coisas dando errado' — viraria só um Realista com nome diferente, e o modelo perderia a função de avisar cedo quando a operação real está indo mal. Pessimista no vermelho, mesmo depois do pacote de melhorias, é o resultado CORRETO — ele modela simultaneamente churn alto, conversão baixa (3%, metade do Realista) e CAC ainda relativamente alto. Isso é sinal de alerta, não de erro de planilha.</t>
  </si>
  <si>
    <t xml:space="preserve">Isto é plano de execução, não ajuste de planilha</t>
  </si>
  <si>
    <t xml:space="preserve">Cada uma das 6 alavancas é uma AÇÃO REAL, não um número que se muda sozinho: CAC mais baixo exige de fato migrar aquisição pra comunidade/indicação (aba 'Sugestões de Crescimento', item 5) antes do volume de tráfego pago virar o canal principal; rebate mais alto exige negociar com a corretora antes do lançamento; conversão mais alta exige construir o gatilho de produto (item 2 da mesma aba) antes de contar com 8%. Se qualquer uma dessas ações não acontecer na prática, volte a célula correspondente pro valor original — a planilha reflete plano, não promessa.</t>
  </si>
  <si>
    <t xml:space="preserve">Próximo passo recomendado</t>
  </si>
  <si>
    <t xml:space="preserve">1) Usar o Ano 1 como gate de decisão: se os primeiros meses reais de conversão/churn/CAC vierem piores que o Realista ajustado (ex: conversão real &lt; 6-7%, CAC real &gt; R$150), isso é sinal precoce de que a operação está trilhando o caminho do Pessimista — cortar gasto de aquisição cedo em vez de escalar. 2) Rastrear as 3 métricas do gatilho (conversão Starter→Pago, CAC efetivo, churn mensal pago) desde o dia 1 do lançamento, comparando contra as 3 colunas da aba Premissas mês a mês — não esperar o Ano 1 fechar pra descobrir em qual cenário a operação real está.</t>
  </si>
  <si>
    <t xml:space="preserve">Sugestões para Crescimento Exponencial e Lucratividade</t>
  </si>
  <si>
    <t xml:space="preserve">Alavancas concretas — cada uma testável mudando uma célula azul na aba Premissas e olhando o impacto na aba Resumo Anual. Nenhuma delas foi incorporada como premissa numérica automática (a não ser que citado abaixo) — são recomendações pra decisão do Cleber.</t>
  </si>
  <si>
    <t xml:space="preserve">1) A alavanca #1 é a conversão Starter→Pago, não o preço</t>
  </si>
  <si>
    <t xml:space="preserve">O maior alavanca do modelo não é preço nem comissão — é a TAXA DE CONVERSÃO Starter→Pago (linha amarela da aba Premissas). Ela é a única premissa que multiplica TODAS as fontes de receita ao mesmo tempo (mensalidade, comissão, rebate, marketplace todas dependem de quantos pagantes existem). Teste: suba a conversão realista de 6% pra 9% na aba Premissas e compare o Lucro Líquido Total 5 anos — o efeito composto ao longo de 60 meses é maior que qualquer ajuste isolado de preço.</t>
  </si>
  <si>
    <t xml:space="preserve">2) Conversão orientada por gatilho de produto, não por tempo</t>
  </si>
  <si>
    <t xml:space="preserve">O modelo assume conversão em 2 meses e uma taxa única — na prática, ativação recorrente costuma vir de gatilhos: (a) o Starter recebe um sinal validado que teria sido lucrativo e não pôde agir automático (prompt nativo 'ative o Pro pra isso não acontecer de novo' no momento exato da dor); (b) sequência de erro de execução manual (o trader perdeu o timing) — mesmo gatilho; (c) e-mail/push depois de N dias de uso ativo do Starter (engajamento = sinal de prontidão pra pagar). Isso não muda a fórmula do modelo, muda a taxa de conversão real que ele deveria assumir — vale instrumentar esses gatilhos desde o dia 1 do lançamento pra medir, não estimar, a conversão real o quanto antes.</t>
  </si>
  <si>
    <t xml:space="preserve">3) Faturamento anual anexo (upsell de caixa, não modelado ainda)</t>
  </si>
  <si>
    <t xml:space="preserve">Institutional (R$399) tem o selo 'Recommended' na landing (translations.ts) mas o modelo assume mix conservador (55-90% Pro conforme cenário). Testar: campanha de billing anual com desconto (ex: R$399×12×0,83 ≈ R$3.970/ano, 'pague 10, leve 12') aumenta caixa antecipado (reduz o menor-caixa-do-período, um dos furos já mapeados no plano de 11/07) E reduz churn mensal medido (quem já pagou o ano não cancela por impulso). Não modelado nesta versão — precisa de uma linha nova de premissa '% de assinantes em plano anual' pra entrar na planilha.</t>
  </si>
  <si>
    <t xml:space="preserve">4) Syndicate Core como canal B2B separado — a real fonte de crescimento não-linear</t>
  </si>
  <si>
    <t xml:space="preserve">Syndicate Core (sob medida) não tem preço público e não entra na receita recorrente do modelo — mas é onde a curva pode virar de fato exponencial: 1 contrato de mesa proprietária/fundo pequeno vale potencialmente dezenas de assinaturas Institutional, com CAC quase zero (é decisão de negociação B2B, não tráfego pago) e sem o custo de servir milhares de usuários de varejo. Vale rastrear negociações Syndicate como uma linha separada de pipeline (fora da planilha de varejo) desde já, mesmo pré-lançamento — não force esse número dentro do modelo de varejo, ele tem uma dinâmica de venda completamente diferente (ciclo longo, ticket alto, poucos clientes).</t>
  </si>
  <si>
    <t xml:space="preserve">5) Reduzir CAC via comunidade/indicação em vez de só mídia paga</t>
  </si>
  <si>
    <t xml:space="preserve">CAC de aquisição paga em trading de varejo é caro (R$180-260/cadastro no modelo, já alto) e o setor tem churn естrutural alto (§4 furo #3 do plano de 11/07: 'vida média de 3-6 meses'). Canais de CAC baixo pro nicho: (a) comunidade de trading (Discord/Telegram) com conteúdo educacional gratuito — constrói confiança antes da conversão, historicamente CAC 3-5x menor que ads pagos nesse vertical; (b) programa de indicação entre usuários Pro/Institutional (cashback de 1 mês de mensalidade por indicado convertido) — CAC vira quase-zero e o indicador já é um usuário retido, reforça permanência; (c) parceria com educadores/influenciadores de trading que já têm audiência (revenue share ou CPA, não salário fixo) — reduz risco de CAC afundado se o canal não performar.</t>
  </si>
  <si>
    <t xml:space="preserve">6) Churn, não frequência de trade, é a alavanca que mais ameaça o modelo</t>
  </si>
  <si>
    <t xml:space="preserve">O maior risco financeiro do modelo NÃO é a IA operar pouco (isso já é político — ver CLAUDE.md, edge ≈ 0 medido, cérebro desenhado pra operar pouco de propósito) — é CHURN. Com churn mensal pago de 6% (realista), a vida média de um assinante é só ~16,7 meses (1/0,06); a 8% (pessimista) cai pra 12,5 meses. Cada ponto percentual de churn reduzido tem efeito composto maior que qualquer ganho de preço ou conversão — porque afeta a BASE INSTALADA inteira, não só os novos. Prioridade de produto pra sustentar isso: os alertas de risco e disciplina (o valor central do Pro/Institutional) precisam gerar resultado percebido cedo (primeiras 2-4 semanas) pro usuário não cancelar antes de sentir o benefício — isso é retenção, não aquisição, e o modelo mostra que vale investir ali primeiro.</t>
  </si>
  <si>
    <t xml:space="preserve">Nota de consistência com o resto do projeto</t>
  </si>
  <si>
    <t xml:space="preserve">Nada nesta aba assume que forçar mais entradas da IA aumenta receita — o projeto já mediu (CLAUDE.md, taxa base 2026-08-05) que edge ≈ 0 pra sinal técnico clássico, então mais trade = mais custo esperado pro usuário, não mais lucro pra ninguém. As alavancas de crescimento aqui são todas de PRODUTO/GTM (conversão, retenção, canal B2B, CAC), nunca de operar mais sem edge — isso mantém o modelo financeiro consistente com a disciplina técnica que o resto do projeto já adota.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</si>
</sst>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#,##0.00;\(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i val="true"/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C6E0B4"/>
      </patternFill>
    </fill>
    <fill>
      <patternFill patternType="solid">
        <fgColor rgb="FFC6E0B4"/>
        <bgColor rgb="FFBDD7EE"/>
      </patternFill>
    </fill>
    <fill>
      <patternFill patternType="solid">
        <fgColor rgb="FFBDD7E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</row>
    <row r="5" customFormat="false" ht="27.7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 t="s">
        <v>5</v>
      </c>
    </row>
    <row r="8" customFormat="false" ht="27.75" hidden="false" customHeight="true" outlineLevel="0" collapsed="false">
      <c r="A8" s="4" t="s">
        <v>6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4" t="s">
        <v>8</v>
      </c>
    </row>
    <row r="12" customFormat="false" ht="27.75" hidden="false" customHeight="true" outlineLevel="0" collapsed="false">
      <c r="A12" s="4" t="s">
        <v>9</v>
      </c>
    </row>
    <row r="13" customFormat="false" ht="27.75" hidden="false" customHeight="true" outlineLevel="0" collapsed="false">
      <c r="A13" s="4" t="s">
        <v>10</v>
      </c>
    </row>
    <row r="14" customFormat="false" ht="27.75" hidden="false" customHeight="true" outlineLevel="0" collapsed="false">
      <c r="A14" s="4" t="s">
        <v>11</v>
      </c>
    </row>
    <row r="15" customFormat="false" ht="27.75" hidden="false" customHeight="true" outlineLevel="0" collapsed="false">
      <c r="A15" s="4" t="s">
        <v>12</v>
      </c>
    </row>
    <row r="16" customFormat="false" ht="15" hidden="false" customHeight="true" outlineLevel="0" collapsed="false">
      <c r="A16" s="4"/>
    </row>
    <row r="17" customFormat="false" ht="27.75" hidden="false" customHeight="true" outlineLevel="0" collapsed="false">
      <c r="A17" s="3" t="s">
        <v>13</v>
      </c>
    </row>
    <row r="18" customFormat="false" ht="27.75" hidden="false" customHeight="true" outlineLevel="0" collapsed="false">
      <c r="A18" s="4" t="s">
        <v>14</v>
      </c>
    </row>
    <row r="19" customFormat="false" ht="27.75" hidden="false" customHeight="true" outlineLevel="0" collapsed="false">
      <c r="A19" s="4" t="s">
        <v>15</v>
      </c>
    </row>
    <row r="20" customFormat="false" ht="15" hidden="false" customHeight="true" outlineLevel="0" collapsed="false">
      <c r="A20" s="4"/>
    </row>
    <row r="21" customFormat="false" ht="15" hidden="false" customHeight="true" outlineLevel="0" collapsed="false">
      <c r="A21" s="3" t="s">
        <v>16</v>
      </c>
    </row>
    <row r="22" customFormat="false" ht="27.75" hidden="false" customHeight="tru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5" t="s">
        <v>18</v>
      </c>
      <c r="B1" s="5"/>
      <c r="C1" s="5"/>
      <c r="D1" s="5"/>
      <c r="E1" s="5"/>
    </row>
    <row r="3" customFormat="false" ht="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</row>
    <row r="4" customFormat="false" ht="15" hidden="false" customHeight="false" outlineLevel="0" collapsed="false">
      <c r="A4" s="7" t="s">
        <v>24</v>
      </c>
      <c r="B4" s="8"/>
      <c r="C4" s="8"/>
      <c r="D4" s="8"/>
      <c r="E4" s="8"/>
    </row>
    <row r="5" customFormat="false" ht="22.35" hidden="false" customHeight="false" outlineLevel="0" collapsed="false">
      <c r="A5" s="9" t="s">
        <v>25</v>
      </c>
      <c r="B5" s="10" t="n">
        <v>199</v>
      </c>
      <c r="C5" s="10" t="n">
        <v>199</v>
      </c>
      <c r="D5" s="10" t="n">
        <v>199</v>
      </c>
      <c r="E5" s="11" t="s">
        <v>26</v>
      </c>
    </row>
    <row r="6" customFormat="false" ht="15" hidden="false" customHeight="false" outlineLevel="0" collapsed="false">
      <c r="A6" s="9" t="s">
        <v>27</v>
      </c>
      <c r="B6" s="10" t="n">
        <v>399</v>
      </c>
      <c r="C6" s="10" t="n">
        <v>399</v>
      </c>
      <c r="D6" s="10" t="n">
        <v>399</v>
      </c>
      <c r="E6" s="11" t="s">
        <v>28</v>
      </c>
    </row>
    <row r="8" customFormat="false" ht="15" hidden="false" customHeight="false" outlineLevel="0" collapsed="false">
      <c r="A8" s="12" t="s">
        <v>29</v>
      </c>
      <c r="B8" s="8"/>
      <c r="C8" s="8"/>
      <c r="D8" s="8"/>
      <c r="E8" s="8"/>
    </row>
    <row r="9" customFormat="false" ht="32.8" hidden="false" customHeight="false" outlineLevel="0" collapsed="false">
      <c r="A9" s="9" t="s">
        <v>30</v>
      </c>
      <c r="B9" s="10" t="n">
        <v>40</v>
      </c>
      <c r="C9" s="10" t="n">
        <v>80</v>
      </c>
      <c r="D9" s="10" t="n">
        <v>150</v>
      </c>
      <c r="E9" s="11" t="s">
        <v>31</v>
      </c>
    </row>
    <row r="10" customFormat="false" ht="53.7" hidden="false" customHeight="false" outlineLevel="0" collapsed="false">
      <c r="A10" s="13" t="s">
        <v>32</v>
      </c>
      <c r="B10" s="14" t="n">
        <v>0.02</v>
      </c>
      <c r="C10" s="14" t="n">
        <v>0.045</v>
      </c>
      <c r="D10" s="14" t="n">
        <v>0.08</v>
      </c>
      <c r="E10" s="11" t="s">
        <v>33</v>
      </c>
    </row>
    <row r="11" customFormat="false" ht="85.05" hidden="false" customHeight="false" outlineLevel="0" collapsed="false">
      <c r="A11" s="13" t="s">
        <v>34</v>
      </c>
      <c r="B11" s="15" t="n">
        <v>350</v>
      </c>
      <c r="C11" s="15" t="n">
        <v>900</v>
      </c>
      <c r="D11" s="15" t="n">
        <v>2200</v>
      </c>
      <c r="E11" s="11" t="s">
        <v>35</v>
      </c>
    </row>
    <row r="12" customFormat="false" ht="105.95" hidden="false" customHeight="false" outlineLevel="0" collapsed="false">
      <c r="A12" s="13" t="s">
        <v>36</v>
      </c>
      <c r="B12" s="14" t="n">
        <v>0.03</v>
      </c>
      <c r="C12" s="14" t="n">
        <v>0.08</v>
      </c>
      <c r="D12" s="14" t="n">
        <v>0.11</v>
      </c>
      <c r="E12" s="11" t="s">
        <v>37</v>
      </c>
    </row>
    <row r="13" customFormat="false" ht="53.7" hidden="false" customHeight="false" outlineLevel="0" collapsed="false">
      <c r="A13" s="9" t="s">
        <v>38</v>
      </c>
      <c r="B13" s="16" t="n">
        <v>0.9</v>
      </c>
      <c r="C13" s="16" t="n">
        <v>0.75</v>
      </c>
      <c r="D13" s="16" t="n">
        <v>0.55</v>
      </c>
      <c r="E13" s="11" t="s">
        <v>39</v>
      </c>
    </row>
    <row r="14" customFormat="false" ht="32.8" hidden="false" customHeight="false" outlineLevel="0" collapsed="false">
      <c r="A14" s="9" t="s">
        <v>40</v>
      </c>
      <c r="B14" s="16" t="n">
        <v>0.15</v>
      </c>
      <c r="C14" s="16" t="n">
        <v>0.12</v>
      </c>
      <c r="D14" s="16" t="n">
        <v>0.09</v>
      </c>
      <c r="E14" s="11" t="s">
        <v>41</v>
      </c>
    </row>
    <row r="15" customFormat="false" ht="43.25" hidden="false" customHeight="false" outlineLevel="0" collapsed="false">
      <c r="A15" s="9" t="s">
        <v>42</v>
      </c>
      <c r="B15" s="16" t="n">
        <v>0.08</v>
      </c>
      <c r="C15" s="16" t="n">
        <v>0.06</v>
      </c>
      <c r="D15" s="16" t="n">
        <v>0.04</v>
      </c>
      <c r="E15" s="11" t="s">
        <v>43</v>
      </c>
    </row>
    <row r="17" customFormat="false" ht="15" hidden="false" customHeight="false" outlineLevel="0" collapsed="false">
      <c r="A17" s="12" t="s">
        <v>44</v>
      </c>
      <c r="B17" s="8"/>
      <c r="C17" s="8"/>
      <c r="D17" s="8"/>
      <c r="E17" s="8"/>
    </row>
    <row r="18" customFormat="false" ht="43.25" hidden="false" customHeight="false" outlineLevel="0" collapsed="false">
      <c r="A18" s="9" t="s">
        <v>45</v>
      </c>
      <c r="B18" s="17" t="n">
        <v>2.5</v>
      </c>
      <c r="C18" s="17" t="n">
        <v>5</v>
      </c>
      <c r="D18" s="17" t="n">
        <v>8.5</v>
      </c>
      <c r="E18" s="11" t="s">
        <v>46</v>
      </c>
    </row>
    <row r="19" customFormat="false" ht="32.8" hidden="false" customHeight="false" outlineLevel="0" collapsed="false">
      <c r="A19" s="9" t="s">
        <v>47</v>
      </c>
      <c r="B19" s="17" t="n">
        <v>0.3</v>
      </c>
      <c r="C19" s="17" t="n">
        <v>0.7</v>
      </c>
      <c r="D19" s="17" t="n">
        <v>1.2</v>
      </c>
      <c r="E19" s="11" t="s">
        <v>48</v>
      </c>
    </row>
    <row r="21" customFormat="false" ht="15" hidden="false" customHeight="false" outlineLevel="0" collapsed="false">
      <c r="A21" s="12" t="s">
        <v>49</v>
      </c>
      <c r="B21" s="8"/>
      <c r="C21" s="8"/>
      <c r="D21" s="8"/>
      <c r="E21" s="8"/>
    </row>
    <row r="22" customFormat="false" ht="85.05" hidden="false" customHeight="false" outlineLevel="0" collapsed="false">
      <c r="A22" s="13" t="s">
        <v>50</v>
      </c>
      <c r="B22" s="18" t="n">
        <v>40</v>
      </c>
      <c r="C22" s="18" t="n">
        <v>40</v>
      </c>
      <c r="D22" s="18" t="n">
        <v>40</v>
      </c>
      <c r="E22" s="11" t="s">
        <v>51</v>
      </c>
    </row>
    <row r="23" customFormat="false" ht="85.05" hidden="false" customHeight="false" outlineLevel="0" collapsed="false">
      <c r="A23" s="9" t="s">
        <v>52</v>
      </c>
      <c r="B23" s="17" t="n">
        <v>25</v>
      </c>
      <c r="C23" s="17" t="n">
        <v>35</v>
      </c>
      <c r="D23" s="17" t="n">
        <v>45</v>
      </c>
      <c r="E23" s="11" t="s">
        <v>53</v>
      </c>
    </row>
    <row r="24" customFormat="false" ht="43.25" hidden="false" customHeight="false" outlineLevel="0" collapsed="false">
      <c r="A24" s="9" t="s">
        <v>54</v>
      </c>
      <c r="B24" s="17" t="n">
        <v>3.5</v>
      </c>
      <c r="C24" s="17" t="n">
        <v>7.5</v>
      </c>
      <c r="D24" s="17" t="n">
        <v>13</v>
      </c>
      <c r="E24" s="11" t="s">
        <v>55</v>
      </c>
    </row>
    <row r="26" customFormat="false" ht="15" hidden="false" customHeight="false" outlineLevel="0" collapsed="false">
      <c r="A26" s="12" t="s">
        <v>56</v>
      </c>
      <c r="B26" s="8"/>
      <c r="C26" s="8"/>
      <c r="D26" s="8"/>
      <c r="E26" s="8"/>
    </row>
    <row r="27" customFormat="false" ht="105.95" hidden="false" customHeight="false" outlineLevel="0" collapsed="false">
      <c r="A27" s="13" t="s">
        <v>57</v>
      </c>
      <c r="B27" s="15" t="n">
        <v>90</v>
      </c>
      <c r="C27" s="15" t="n">
        <v>110</v>
      </c>
      <c r="D27" s="15" t="n">
        <v>130</v>
      </c>
      <c r="E27" s="11" t="s">
        <v>58</v>
      </c>
    </row>
    <row r="28" customFormat="false" ht="32.8" hidden="false" customHeight="false" outlineLevel="0" collapsed="false">
      <c r="A28" s="9" t="s">
        <v>59</v>
      </c>
      <c r="B28" s="17" t="n">
        <v>27</v>
      </c>
      <c r="C28" s="17" t="n">
        <v>27</v>
      </c>
      <c r="D28" s="17" t="n">
        <v>27</v>
      </c>
      <c r="E28" s="11" t="s">
        <v>60</v>
      </c>
    </row>
    <row r="29" customFormat="false" ht="64.15" hidden="false" customHeight="false" outlineLevel="0" collapsed="false">
      <c r="A29" s="9" t="s">
        <v>61</v>
      </c>
      <c r="B29" s="10" t="n">
        <v>700</v>
      </c>
      <c r="C29" s="10" t="n">
        <v>600</v>
      </c>
      <c r="D29" s="10" t="n">
        <v>450</v>
      </c>
      <c r="E29" s="11" t="s">
        <v>62</v>
      </c>
    </row>
    <row r="30" customFormat="false" ht="32.8" hidden="false" customHeight="false" outlineLevel="0" collapsed="false">
      <c r="A30" s="9" t="s">
        <v>63</v>
      </c>
      <c r="B30" s="10" t="n">
        <v>9000</v>
      </c>
      <c r="C30" s="10" t="n">
        <v>9000</v>
      </c>
      <c r="D30" s="10" t="n">
        <v>9000</v>
      </c>
      <c r="E30" s="11" t="s">
        <v>64</v>
      </c>
    </row>
    <row r="31" customFormat="false" ht="64.15" hidden="false" customHeight="false" outlineLevel="0" collapsed="false">
      <c r="A31" s="9" t="s">
        <v>65</v>
      </c>
      <c r="B31" s="10" t="n">
        <v>2000</v>
      </c>
      <c r="C31" s="10" t="n">
        <v>3000</v>
      </c>
      <c r="D31" s="10" t="n">
        <v>4000</v>
      </c>
      <c r="E31" s="11" t="s">
        <v>66</v>
      </c>
    </row>
    <row r="32" customFormat="false" ht="43.25" hidden="false" customHeight="false" outlineLevel="0" collapsed="false">
      <c r="A32" s="9" t="s">
        <v>67</v>
      </c>
      <c r="B32" s="16" t="n">
        <v>0.07</v>
      </c>
      <c r="C32" s="16" t="n">
        <v>0.1</v>
      </c>
      <c r="D32" s="16" t="n">
        <v>0.135</v>
      </c>
      <c r="E32" s="11" t="s">
        <v>68</v>
      </c>
    </row>
    <row r="33" customFormat="false" ht="32.8" hidden="false" customHeight="false" outlineLevel="0" collapsed="false">
      <c r="A33" s="9" t="s">
        <v>69</v>
      </c>
      <c r="B33" s="10" t="n">
        <v>-21000</v>
      </c>
      <c r="C33" s="10" t="n">
        <v>-21000</v>
      </c>
      <c r="D33" s="10" t="n">
        <v>-21000</v>
      </c>
      <c r="E33" s="11" t="s">
        <v>70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9" t="s">
        <v>72</v>
      </c>
    </row>
    <row r="3" customFormat="false" ht="26.85" hidden="false" customHeight="true" outlineLevel="0" collapsed="false">
      <c r="A3" s="20" t="s">
        <v>73</v>
      </c>
      <c r="B3" s="20" t="s">
        <v>74</v>
      </c>
      <c r="C3" s="20" t="s">
        <v>75</v>
      </c>
      <c r="D3" s="20" t="s">
        <v>76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 t="s">
        <v>77</v>
      </c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 t="s">
        <v>78</v>
      </c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 t="s">
        <v>79</v>
      </c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 t="s">
        <v>80</v>
      </c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</row>
    <row r="4" customFormat="false" ht="15" hidden="false" customHeight="false" outlineLevel="0" collapsed="false">
      <c r="A4" s="7" t="s">
        <v>81</v>
      </c>
      <c r="B4" s="21"/>
      <c r="C4" s="21" t="s">
        <v>82</v>
      </c>
      <c r="D4" s="21" t="s">
        <v>83</v>
      </c>
      <c r="E4" s="21" t="s">
        <v>84</v>
      </c>
      <c r="F4" s="21" t="s">
        <v>85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  <c r="P4" s="21" t="s">
        <v>95</v>
      </c>
      <c r="Q4" s="21" t="s">
        <v>96</v>
      </c>
      <c r="R4" s="21" t="s">
        <v>97</v>
      </c>
      <c r="S4" s="21" t="s">
        <v>98</v>
      </c>
      <c r="T4" s="21" t="s">
        <v>99</v>
      </c>
      <c r="U4" s="21" t="s">
        <v>100</v>
      </c>
      <c r="V4" s="21" t="s">
        <v>101</v>
      </c>
      <c r="W4" s="21" t="s">
        <v>102</v>
      </c>
      <c r="X4" s="21" t="s">
        <v>103</v>
      </c>
      <c r="Y4" s="21" t="s">
        <v>104</v>
      </c>
      <c r="Z4" s="21" t="s">
        <v>105</v>
      </c>
      <c r="AA4" s="21" t="s">
        <v>106</v>
      </c>
      <c r="AB4" s="21" t="s">
        <v>107</v>
      </c>
      <c r="AC4" s="21" t="s">
        <v>108</v>
      </c>
      <c r="AD4" s="21" t="s">
        <v>109</v>
      </c>
      <c r="AE4" s="21" t="s">
        <v>110</v>
      </c>
      <c r="AF4" s="21" t="s">
        <v>111</v>
      </c>
      <c r="AG4" s="21" t="s">
        <v>112</v>
      </c>
      <c r="AH4" s="21" t="s">
        <v>113</v>
      </c>
      <c r="AI4" s="21" t="s">
        <v>114</v>
      </c>
      <c r="AJ4" s="21" t="s">
        <v>115</v>
      </c>
      <c r="AK4" s="21" t="s">
        <v>116</v>
      </c>
      <c r="AL4" s="21" t="s">
        <v>117</v>
      </c>
      <c r="AM4" s="21" t="s">
        <v>118</v>
      </c>
      <c r="AN4" s="21" t="s">
        <v>119</v>
      </c>
      <c r="AO4" s="21" t="s">
        <v>120</v>
      </c>
      <c r="AP4" s="21" t="s">
        <v>121</v>
      </c>
      <c r="AQ4" s="21" t="s">
        <v>122</v>
      </c>
      <c r="AR4" s="21" t="s">
        <v>123</v>
      </c>
      <c r="AS4" s="21" t="s">
        <v>124</v>
      </c>
      <c r="AT4" s="21" t="s">
        <v>125</v>
      </c>
      <c r="AU4" s="21" t="s">
        <v>126</v>
      </c>
      <c r="AV4" s="21" t="s">
        <v>127</v>
      </c>
      <c r="AW4" s="21" t="s">
        <v>128</v>
      </c>
      <c r="AX4" s="21" t="s">
        <v>129</v>
      </c>
      <c r="AY4" s="21" t="s">
        <v>130</v>
      </c>
      <c r="AZ4" s="21" t="s">
        <v>131</v>
      </c>
      <c r="BA4" s="21" t="s">
        <v>132</v>
      </c>
      <c r="BB4" s="21" t="s">
        <v>133</v>
      </c>
      <c r="BC4" s="21" t="s">
        <v>134</v>
      </c>
      <c r="BD4" s="21" t="s">
        <v>135</v>
      </c>
      <c r="BE4" s="21" t="s">
        <v>136</v>
      </c>
      <c r="BF4" s="21" t="s">
        <v>137</v>
      </c>
      <c r="BG4" s="21" t="s">
        <v>138</v>
      </c>
      <c r="BH4" s="21" t="s">
        <v>139</v>
      </c>
      <c r="BI4" s="21" t="s">
        <v>140</v>
      </c>
      <c r="BJ4" s="21" t="s">
        <v>141</v>
      </c>
      <c r="BK4" s="21" t="s">
        <v>142</v>
      </c>
    </row>
    <row r="6" customFormat="false" ht="15" hidden="false" customHeight="false" outlineLevel="0" collapsed="false">
      <c r="A6" s="9" t="s">
        <v>143</v>
      </c>
      <c r="B6" s="19" t="s">
        <v>144</v>
      </c>
      <c r="C6" s="22" t="n">
        <v>0</v>
      </c>
      <c r="D6" s="22" t="n">
        <f aca="false">MIN(Premissas!$B$9,Premissas!$B$11)</f>
        <v>40</v>
      </c>
      <c r="E6" s="22" t="n">
        <f aca="false">MIN(D6*(1+Premissas!$B$10),Premissas!$B$11)</f>
        <v>40.8</v>
      </c>
      <c r="F6" s="22" t="n">
        <f aca="false">MIN(E6*(1+Premissas!$B$10),Premissas!$B$11)</f>
        <v>41.616</v>
      </c>
      <c r="G6" s="22" t="n">
        <f aca="false">MIN(F6*(1+Premissas!$B$10),Premissas!$B$11)</f>
        <v>42.44832</v>
      </c>
      <c r="H6" s="22" t="n">
        <f aca="false">MIN(G6*(1+Premissas!$B$10),Premissas!$B$11)</f>
        <v>43.2972864</v>
      </c>
      <c r="I6" s="22" t="n">
        <f aca="false">MIN(H6*(1+Premissas!$B$10),Premissas!$B$11)</f>
        <v>44.163232128</v>
      </c>
      <c r="J6" s="22" t="n">
        <f aca="false">MIN(I6*(1+Premissas!$B$10),Premissas!$B$11)</f>
        <v>45.04649677056</v>
      </c>
      <c r="K6" s="22" t="n">
        <f aca="false">MIN(J6*(1+Premissas!$B$10),Premissas!$B$11)</f>
        <v>45.9474267059712</v>
      </c>
      <c r="L6" s="22" t="n">
        <f aca="false">MIN(K6*(1+Premissas!$B$10),Premissas!$B$11)</f>
        <v>46.8663752400906</v>
      </c>
      <c r="M6" s="22" t="n">
        <f aca="false">MIN(L6*(1+Premissas!$B$10),Premissas!$B$11)</f>
        <v>47.8037027448924</v>
      </c>
      <c r="N6" s="22" t="n">
        <f aca="false">MIN(M6*(1+Premissas!$B$10),Premissas!$B$11)</f>
        <v>48.7597767997903</v>
      </c>
      <c r="O6" s="22" t="n">
        <f aca="false">MIN(N6*(1+Premissas!$B$10),Premissas!$B$11)</f>
        <v>49.7349723357861</v>
      </c>
      <c r="P6" s="22" t="n">
        <f aca="false">MIN(O6*(1+Premissas!$B$10),Premissas!$B$11)</f>
        <v>50.7296717825018</v>
      </c>
      <c r="Q6" s="22" t="n">
        <f aca="false">MIN(P6*(1+Premissas!$B$10),Premissas!$B$11)</f>
        <v>51.7442652181519</v>
      </c>
      <c r="R6" s="22" t="n">
        <f aca="false">MIN(Q6*(1+Premissas!$B$10),Premissas!$B$11)</f>
        <v>52.7791505225149</v>
      </c>
      <c r="S6" s="22" t="n">
        <f aca="false">MIN(R6*(1+Premissas!$B$10),Premissas!$B$11)</f>
        <v>53.8347335329652</v>
      </c>
      <c r="T6" s="22" t="n">
        <f aca="false">MIN(S6*(1+Premissas!$B$10),Premissas!$B$11)</f>
        <v>54.9114282036245</v>
      </c>
      <c r="U6" s="22" t="n">
        <f aca="false">MIN(T6*(1+Premissas!$B$10),Premissas!$B$11)</f>
        <v>56.009656767697</v>
      </c>
      <c r="V6" s="22" t="n">
        <f aca="false">MIN(U6*(1+Premissas!$B$10),Premissas!$B$11)</f>
        <v>57.1298499030509</v>
      </c>
      <c r="W6" s="22" t="n">
        <f aca="false">MIN(V6*(1+Premissas!$B$10),Premissas!$B$11)</f>
        <v>58.272446901112</v>
      </c>
      <c r="X6" s="22" t="n">
        <f aca="false">MIN(W6*(1+Premissas!$B$10),Premissas!$B$11)</f>
        <v>59.4378958391342</v>
      </c>
      <c r="Y6" s="22" t="n">
        <f aca="false">MIN(X6*(1+Premissas!$B$10),Premissas!$B$11)</f>
        <v>60.6266537559169</v>
      </c>
      <c r="Z6" s="22" t="n">
        <f aca="false">MIN(Y6*(1+Premissas!$B$10),Premissas!$B$11)</f>
        <v>61.8391868310352</v>
      </c>
      <c r="AA6" s="22" t="n">
        <f aca="false">MIN(Z6*(1+Premissas!$B$10),Premissas!$B$11)</f>
        <v>63.0759705676559</v>
      </c>
      <c r="AB6" s="22" t="n">
        <f aca="false">MIN(AA6*(1+Premissas!$B$10),Premissas!$B$11)</f>
        <v>64.337489979009</v>
      </c>
      <c r="AC6" s="22" t="n">
        <f aca="false">MIN(AB6*(1+Premissas!$B$10),Premissas!$B$11)</f>
        <v>65.6242397785892</v>
      </c>
      <c r="AD6" s="22" t="n">
        <f aca="false">MIN(AC6*(1+Premissas!$B$10),Premissas!$B$11)</f>
        <v>66.936724574161</v>
      </c>
      <c r="AE6" s="22" t="n">
        <f aca="false">MIN(AD6*(1+Premissas!$B$10),Premissas!$B$11)</f>
        <v>68.2754590656442</v>
      </c>
      <c r="AF6" s="22" t="n">
        <f aca="false">MIN(AE6*(1+Premissas!$B$10),Premissas!$B$11)</f>
        <v>69.6409682469571</v>
      </c>
      <c r="AG6" s="22" t="n">
        <f aca="false">MIN(AF6*(1+Premissas!$B$10),Premissas!$B$11)</f>
        <v>71.0337876118963</v>
      </c>
      <c r="AH6" s="22" t="n">
        <f aca="false">MIN(AG6*(1+Premissas!$B$10),Premissas!$B$11)</f>
        <v>72.4544633641342</v>
      </c>
      <c r="AI6" s="22" t="n">
        <f aca="false">MIN(AH6*(1+Premissas!$B$10),Premissas!$B$11)</f>
        <v>73.9035526314169</v>
      </c>
      <c r="AJ6" s="22" t="n">
        <f aca="false">MIN(AI6*(1+Premissas!$B$10),Premissas!$B$11)</f>
        <v>75.3816236840452</v>
      </c>
      <c r="AK6" s="22" t="n">
        <f aca="false">MIN(AJ6*(1+Premissas!$B$10),Premissas!$B$11)</f>
        <v>76.8892561577261</v>
      </c>
      <c r="AL6" s="22" t="n">
        <f aca="false">MIN(AK6*(1+Premissas!$B$10),Premissas!$B$11)</f>
        <v>78.4270412808806</v>
      </c>
      <c r="AM6" s="22" t="n">
        <f aca="false">MIN(AL6*(1+Premissas!$B$10),Premissas!$B$11)</f>
        <v>79.9955821064983</v>
      </c>
      <c r="AN6" s="22" t="n">
        <f aca="false">MIN(AM6*(1+Premissas!$B$10),Premissas!$B$11)</f>
        <v>81.5954937486282</v>
      </c>
      <c r="AO6" s="22" t="n">
        <f aca="false">MIN(AN6*(1+Premissas!$B$10),Premissas!$B$11)</f>
        <v>83.2274036236008</v>
      </c>
      <c r="AP6" s="22" t="n">
        <f aca="false">MIN(AO6*(1+Premissas!$B$10),Premissas!$B$11)</f>
        <v>84.8919516960728</v>
      </c>
      <c r="AQ6" s="22" t="n">
        <f aca="false">MIN(AP6*(1+Premissas!$B$10),Premissas!$B$11)</f>
        <v>86.5897907299943</v>
      </c>
      <c r="AR6" s="22" t="n">
        <f aca="false">MIN(AQ6*(1+Premissas!$B$10),Premissas!$B$11)</f>
        <v>88.3215865445941</v>
      </c>
      <c r="AS6" s="22" t="n">
        <f aca="false">MIN(AR6*(1+Premissas!$B$10),Premissas!$B$11)</f>
        <v>90.088018275486</v>
      </c>
      <c r="AT6" s="22" t="n">
        <f aca="false">MIN(AS6*(1+Premissas!$B$10),Premissas!$B$11)</f>
        <v>91.8897786409957</v>
      </c>
      <c r="AU6" s="22" t="n">
        <f aca="false">MIN(AT6*(1+Premissas!$B$10),Premissas!$B$11)</f>
        <v>93.7275742138157</v>
      </c>
      <c r="AV6" s="22" t="n">
        <f aca="false">MIN(AU6*(1+Premissas!$B$10),Premissas!$B$11)</f>
        <v>95.602125698092</v>
      </c>
      <c r="AW6" s="22" t="n">
        <f aca="false">MIN(AV6*(1+Premissas!$B$10),Premissas!$B$11)</f>
        <v>97.5141682120538</v>
      </c>
      <c r="AX6" s="22" t="n">
        <f aca="false">MIN(AW6*(1+Premissas!$B$10),Premissas!$B$11)</f>
        <v>99.4644515762949</v>
      </c>
      <c r="AY6" s="22" t="n">
        <f aca="false">MIN(AX6*(1+Premissas!$B$10),Premissas!$B$11)</f>
        <v>101.453740607821</v>
      </c>
      <c r="AZ6" s="22" t="n">
        <f aca="false">MIN(AY6*(1+Premissas!$B$10),Premissas!$B$11)</f>
        <v>103.482815419977</v>
      </c>
      <c r="BA6" s="22" t="n">
        <f aca="false">MIN(AZ6*(1+Premissas!$B$10),Premissas!$B$11)</f>
        <v>105.552471728377</v>
      </c>
      <c r="BB6" s="22" t="n">
        <f aca="false">MIN(BA6*(1+Premissas!$B$10),Premissas!$B$11)</f>
        <v>107.663521162944</v>
      </c>
      <c r="BC6" s="22" t="n">
        <f aca="false">MIN(BB6*(1+Premissas!$B$10),Premissas!$B$11)</f>
        <v>109.816791586203</v>
      </c>
      <c r="BD6" s="22" t="n">
        <f aca="false">MIN(BC6*(1+Premissas!$B$10),Premissas!$B$11)</f>
        <v>112.013127417927</v>
      </c>
      <c r="BE6" s="22" t="n">
        <f aca="false">MIN(BD6*(1+Premissas!$B$10),Premissas!$B$11)</f>
        <v>114.253389966286</v>
      </c>
      <c r="BF6" s="22" t="n">
        <f aca="false">MIN(BE6*(1+Premissas!$B$10),Premissas!$B$11)</f>
        <v>116.538457765612</v>
      </c>
      <c r="BG6" s="22" t="n">
        <f aca="false">MIN(BF6*(1+Premissas!$B$10),Premissas!$B$11)</f>
        <v>118.869226920924</v>
      </c>
      <c r="BH6" s="22" t="n">
        <f aca="false">MIN(BG6*(1+Premissas!$B$10),Premissas!$B$11)</f>
        <v>121.246611459342</v>
      </c>
      <c r="BI6" s="22" t="n">
        <f aca="false">MIN(BH6*(1+Premissas!$B$10),Premissas!$B$11)</f>
        <v>123.671543688529</v>
      </c>
      <c r="BJ6" s="22" t="n">
        <f aca="false">MIN(BI6*(1+Premissas!$B$10),Premissas!$B$11)</f>
        <v>126.1449745623</v>
      </c>
      <c r="BK6" s="22" t="n">
        <f aca="false">MIN(BJ6*(1+Premissas!$B$10),Premissas!$B$11)</f>
        <v>128.667874053546</v>
      </c>
    </row>
    <row r="7" customFormat="false" ht="15" hidden="false" customHeight="false" outlineLevel="0" collapsed="false">
      <c r="A7" s="9" t="s">
        <v>145</v>
      </c>
      <c r="B7" s="19" t="s">
        <v>144</v>
      </c>
      <c r="C7" s="22" t="n">
        <v>0</v>
      </c>
      <c r="D7" s="22" t="n">
        <v>0</v>
      </c>
      <c r="E7" s="22" t="n">
        <f aca="false">C6*Premissas!$B$12</f>
        <v>0</v>
      </c>
      <c r="F7" s="22" t="n">
        <f aca="false">D6*Premissas!$B$12</f>
        <v>1.2</v>
      </c>
      <c r="G7" s="22" t="n">
        <f aca="false">E6*Premissas!$B$12</f>
        <v>1.224</v>
      </c>
      <c r="H7" s="22" t="n">
        <f aca="false">F6*Premissas!$B$12</f>
        <v>1.24848</v>
      </c>
      <c r="I7" s="22" t="n">
        <f aca="false">G6*Premissas!$B$12</f>
        <v>1.2734496</v>
      </c>
      <c r="J7" s="22" t="n">
        <f aca="false">H6*Premissas!$B$12</f>
        <v>1.298918592</v>
      </c>
      <c r="K7" s="22" t="n">
        <f aca="false">I6*Premissas!$B$12</f>
        <v>1.32489696384</v>
      </c>
      <c r="L7" s="22" t="n">
        <f aca="false">J6*Premissas!$B$12</f>
        <v>1.3513949031168</v>
      </c>
      <c r="M7" s="22" t="n">
        <f aca="false">K6*Premissas!$B$12</f>
        <v>1.37842280117914</v>
      </c>
      <c r="N7" s="22" t="n">
        <f aca="false">L6*Premissas!$B$12</f>
        <v>1.40599125720272</v>
      </c>
      <c r="O7" s="22" t="n">
        <f aca="false">M6*Premissas!$B$12</f>
        <v>1.43411108234677</v>
      </c>
      <c r="P7" s="22" t="n">
        <f aca="false">N6*Premissas!$B$12</f>
        <v>1.46279330399371</v>
      </c>
      <c r="Q7" s="22" t="n">
        <f aca="false">O6*Premissas!$B$12</f>
        <v>1.49204917007358</v>
      </c>
      <c r="R7" s="22" t="n">
        <f aca="false">P6*Premissas!$B$12</f>
        <v>1.52189015347505</v>
      </c>
      <c r="S7" s="22" t="n">
        <f aca="false">Q6*Premissas!$B$12</f>
        <v>1.55232795654456</v>
      </c>
      <c r="T7" s="22" t="n">
        <f aca="false">R6*Premissas!$B$12</f>
        <v>1.58337451567545</v>
      </c>
      <c r="U7" s="22" t="n">
        <f aca="false">S6*Premissas!$B$12</f>
        <v>1.61504200598896</v>
      </c>
      <c r="V7" s="22" t="n">
        <f aca="false">T6*Premissas!$B$12</f>
        <v>1.64734284610873</v>
      </c>
      <c r="W7" s="22" t="n">
        <f aca="false">U6*Premissas!$B$12</f>
        <v>1.68028970303091</v>
      </c>
      <c r="X7" s="22" t="n">
        <f aca="false">V6*Premissas!$B$12</f>
        <v>1.71389549709153</v>
      </c>
      <c r="Y7" s="22" t="n">
        <f aca="false">W6*Premissas!$B$12</f>
        <v>1.74817340703336</v>
      </c>
      <c r="Z7" s="22" t="n">
        <f aca="false">X6*Premissas!$B$12</f>
        <v>1.78313687517403</v>
      </c>
      <c r="AA7" s="22" t="n">
        <f aca="false">Y6*Premissas!$B$12</f>
        <v>1.81879961267751</v>
      </c>
      <c r="AB7" s="22" t="n">
        <f aca="false">Z6*Premissas!$B$12</f>
        <v>1.85517560493106</v>
      </c>
      <c r="AC7" s="22" t="n">
        <f aca="false">AA6*Premissas!$B$12</f>
        <v>1.89227911702968</v>
      </c>
      <c r="AD7" s="22" t="n">
        <f aca="false">AB6*Premissas!$B$12</f>
        <v>1.93012469937027</v>
      </c>
      <c r="AE7" s="22" t="n">
        <f aca="false">AC6*Premissas!$B$12</f>
        <v>1.96872719335768</v>
      </c>
      <c r="AF7" s="22" t="n">
        <f aca="false">AD6*Premissas!$B$12</f>
        <v>2.00810173722483</v>
      </c>
      <c r="AG7" s="22" t="n">
        <f aca="false">AE6*Premissas!$B$12</f>
        <v>2.04826377196933</v>
      </c>
      <c r="AH7" s="22" t="n">
        <f aca="false">AF6*Premissas!$B$12</f>
        <v>2.08922904740871</v>
      </c>
      <c r="AI7" s="22" t="n">
        <f aca="false">AG6*Premissas!$B$12</f>
        <v>2.13101362835689</v>
      </c>
      <c r="AJ7" s="22" t="n">
        <f aca="false">AH6*Premissas!$B$12</f>
        <v>2.17363390092403</v>
      </c>
      <c r="AK7" s="22" t="n">
        <f aca="false">AI6*Premissas!$B$12</f>
        <v>2.21710657894251</v>
      </c>
      <c r="AL7" s="22" t="n">
        <f aca="false">AJ6*Premissas!$B$12</f>
        <v>2.26144871052136</v>
      </c>
      <c r="AM7" s="22" t="n">
        <f aca="false">AK6*Premissas!$B$12</f>
        <v>2.30667768473178</v>
      </c>
      <c r="AN7" s="22" t="n">
        <f aca="false">AL6*Premissas!$B$12</f>
        <v>2.35281123842642</v>
      </c>
      <c r="AO7" s="22" t="n">
        <f aca="false">AM6*Premissas!$B$12</f>
        <v>2.39986746319495</v>
      </c>
      <c r="AP7" s="22" t="n">
        <f aca="false">AN6*Premissas!$B$12</f>
        <v>2.44786481245885</v>
      </c>
      <c r="AQ7" s="22" t="n">
        <f aca="false">AO6*Premissas!$B$12</f>
        <v>2.49682210870802</v>
      </c>
      <c r="AR7" s="22" t="n">
        <f aca="false">AP6*Premissas!$B$12</f>
        <v>2.54675855088218</v>
      </c>
      <c r="AS7" s="22" t="n">
        <f aca="false">AQ6*Premissas!$B$12</f>
        <v>2.59769372189983</v>
      </c>
      <c r="AT7" s="22" t="n">
        <f aca="false">AR6*Premissas!$B$12</f>
        <v>2.64964759633782</v>
      </c>
      <c r="AU7" s="22" t="n">
        <f aca="false">AS6*Premissas!$B$12</f>
        <v>2.70264054826458</v>
      </c>
      <c r="AV7" s="22" t="n">
        <f aca="false">AT6*Premissas!$B$12</f>
        <v>2.75669335922987</v>
      </c>
      <c r="AW7" s="22" t="n">
        <f aca="false">AU6*Premissas!$B$12</f>
        <v>2.81182722641447</v>
      </c>
      <c r="AX7" s="22" t="n">
        <f aca="false">AV6*Premissas!$B$12</f>
        <v>2.86806377094276</v>
      </c>
      <c r="AY7" s="22" t="n">
        <f aca="false">AW6*Premissas!$B$12</f>
        <v>2.92542504636161</v>
      </c>
      <c r="AZ7" s="22" t="n">
        <f aca="false">AX6*Premissas!$B$12</f>
        <v>2.98393354728885</v>
      </c>
      <c r="BA7" s="22" t="n">
        <f aca="false">AY6*Premissas!$B$12</f>
        <v>3.04361221823462</v>
      </c>
      <c r="BB7" s="22" t="n">
        <f aca="false">AZ6*Premissas!$B$12</f>
        <v>3.10448446259932</v>
      </c>
      <c r="BC7" s="22" t="n">
        <f aca="false">BA6*Premissas!$B$12</f>
        <v>3.1665741518513</v>
      </c>
      <c r="BD7" s="22" t="n">
        <f aca="false">BB6*Premissas!$B$12</f>
        <v>3.22990563488833</v>
      </c>
      <c r="BE7" s="22" t="n">
        <f aca="false">BC6*Premissas!$B$12</f>
        <v>3.2945037475861</v>
      </c>
      <c r="BF7" s="22" t="n">
        <f aca="false">BD6*Premissas!$B$12</f>
        <v>3.36039382253782</v>
      </c>
      <c r="BG7" s="22" t="n">
        <f aca="false">BE6*Premissas!$B$12</f>
        <v>3.42760169898857</v>
      </c>
      <c r="BH7" s="22" t="n">
        <f aca="false">BF6*Premissas!$B$12</f>
        <v>3.49615373296834</v>
      </c>
      <c r="BI7" s="22" t="n">
        <f aca="false">BG6*Premissas!$B$12</f>
        <v>3.56607680762771</v>
      </c>
      <c r="BJ7" s="22" t="n">
        <f aca="false">BH6*Premissas!$B$12</f>
        <v>3.63739834378027</v>
      </c>
      <c r="BK7" s="22" t="n">
        <f aca="false">BI6*Premissas!$B$12</f>
        <v>3.71014631065587</v>
      </c>
    </row>
    <row r="8" customFormat="false" ht="15" hidden="false" customHeight="false" outlineLevel="0" collapsed="false">
      <c r="A8" s="9" t="s">
        <v>146</v>
      </c>
      <c r="B8" s="19" t="s">
        <v>144</v>
      </c>
      <c r="C8" s="22" t="n">
        <v>0</v>
      </c>
      <c r="D8" s="22" t="n">
        <f aca="false">C8*(1-Premissas!$B$14)+D6-D7</f>
        <v>40</v>
      </c>
      <c r="E8" s="22" t="n">
        <f aca="false">D8*(1-Premissas!$B$14)+E6-E7</f>
        <v>74.8</v>
      </c>
      <c r="F8" s="22" t="n">
        <f aca="false">E8*(1-Premissas!$B$14)+F6-F7</f>
        <v>103.996</v>
      </c>
      <c r="G8" s="22" t="n">
        <f aca="false">F8*(1-Premissas!$B$14)+G6-G7</f>
        <v>129.62092</v>
      </c>
      <c r="H8" s="22" t="n">
        <f aca="false">G8*(1-Premissas!$B$14)+H6-H7</f>
        <v>152.2265884</v>
      </c>
      <c r="I8" s="22" t="n">
        <f aca="false">H8*(1-Premissas!$B$14)+I6-I7</f>
        <v>172.282382668</v>
      </c>
      <c r="J8" s="22" t="n">
        <f aca="false">I8*(1-Premissas!$B$14)+J6-J7</f>
        <v>190.18760344636</v>
      </c>
      <c r="K8" s="22" t="n">
        <f aca="false">J8*(1-Premissas!$B$14)+K6-K7</f>
        <v>206.281992671537</v>
      </c>
      <c r="L8" s="22" t="n">
        <f aca="false">K8*(1-Premissas!$B$14)+L6-L7</f>
        <v>220.85467410778</v>
      </c>
      <c r="M8" s="22" t="n">
        <f aca="false">L8*(1-Premissas!$B$14)+M6-M7</f>
        <v>234.151752935327</v>
      </c>
      <c r="N8" s="22" t="n">
        <f aca="false">M8*(1-Premissas!$B$14)+N6-N7</f>
        <v>246.382775537615</v>
      </c>
      <c r="O8" s="22" t="n">
        <f aca="false">N8*(1-Premissas!$B$14)+O6-O7</f>
        <v>257.726220460412</v>
      </c>
      <c r="P8" s="22" t="n">
        <f aca="false">O8*(1-Premissas!$B$14)+P6-P7</f>
        <v>268.334165869859</v>
      </c>
      <c r="Q8" s="22" t="n">
        <f aca="false">P8*(1-Premissas!$B$14)+Q6-Q7</f>
        <v>278.336257037458</v>
      </c>
      <c r="R8" s="22" t="n">
        <f aca="false">Q8*(1-Premissas!$B$14)+R6-R7</f>
        <v>287.843078850879</v>
      </c>
      <c r="S8" s="22" t="n">
        <f aca="false">R8*(1-Premissas!$B$14)+S6-S7</f>
        <v>296.949022599668</v>
      </c>
      <c r="T8" s="22" t="n">
        <f aca="false">S8*(1-Premissas!$B$14)+T6-T7</f>
        <v>305.734722897667</v>
      </c>
      <c r="U8" s="22" t="n">
        <f aca="false">T8*(1-Premissas!$B$14)+U6-U7</f>
        <v>314.269129224725</v>
      </c>
      <c r="V8" s="22" t="n">
        <f aca="false">U8*(1-Premissas!$B$14)+V6-V7</f>
        <v>322.611266897958</v>
      </c>
      <c r="W8" s="22" t="n">
        <f aca="false">V8*(1-Premissas!$B$14)+W6-W7</f>
        <v>330.811734061346</v>
      </c>
      <c r="X8" s="22" t="n">
        <f aca="false">W8*(1-Premissas!$B$14)+X6-X7</f>
        <v>338.913974294186</v>
      </c>
      <c r="Y8" s="22" t="n">
        <f aca="false">X8*(1-Premissas!$B$14)+Y6-Y7</f>
        <v>346.955358498942</v>
      </c>
      <c r="Z8" s="22" t="n">
        <f aca="false">Y8*(1-Premissas!$B$14)+Z6-Z7</f>
        <v>354.968104679962</v>
      </c>
      <c r="AA8" s="22" t="n">
        <f aca="false">Z8*(1-Premissas!$B$14)+AA6-AA7</f>
        <v>362.980059932946</v>
      </c>
      <c r="AB8" s="22" t="n">
        <f aca="false">AA8*(1-Premissas!$B$14)+AB6-AB7</f>
        <v>371.015365317082</v>
      </c>
      <c r="AC8" s="22" t="n">
        <f aca="false">AB8*(1-Premissas!$B$14)+AC6-AC7</f>
        <v>379.095021181079</v>
      </c>
      <c r="AD8" s="22" t="n">
        <f aca="false">AC8*(1-Premissas!$B$14)+AD6-AD7</f>
        <v>387.237367878708</v>
      </c>
      <c r="AE8" s="22" t="n">
        <f aca="false">AD8*(1-Premissas!$B$14)+AE6-AE7</f>
        <v>395.458494569189</v>
      </c>
      <c r="AF8" s="22" t="n">
        <f aca="false">AE8*(1-Premissas!$B$14)+AF6-AF7</f>
        <v>403.772586893543</v>
      </c>
      <c r="AG8" s="22" t="n">
        <f aca="false">AF8*(1-Premissas!$B$14)+AG6-AG7</f>
        <v>412.192222699438</v>
      </c>
      <c r="AH8" s="22" t="n">
        <f aca="false">AG8*(1-Premissas!$B$14)+AH6-AH7</f>
        <v>420.728623611248</v>
      </c>
      <c r="AI8" s="22" t="n">
        <f aca="false">AH8*(1-Premissas!$B$14)+AI6-AI7</f>
        <v>429.391869072621</v>
      </c>
      <c r="AJ8" s="22" t="n">
        <f aca="false">AI8*(1-Premissas!$B$14)+AJ6-AJ7</f>
        <v>438.191078494849</v>
      </c>
      <c r="AK8" s="22" t="n">
        <f aca="false">AJ8*(1-Premissas!$B$14)+AK6-AK7</f>
        <v>447.134566299405</v>
      </c>
      <c r="AL8" s="22" t="n">
        <f aca="false">AK8*(1-Premissas!$B$14)+AL6-AL7</f>
        <v>456.229973924854</v>
      </c>
      <c r="AM8" s="22" t="n">
        <f aca="false">AL8*(1-Premissas!$B$14)+AM6-AM7</f>
        <v>465.484382257892</v>
      </c>
      <c r="AN8" s="22" t="n">
        <f aca="false">AM8*(1-Premissas!$B$14)+AN6-AN7</f>
        <v>474.90440742941</v>
      </c>
      <c r="AO8" s="22" t="n">
        <f aca="false">AN8*(1-Premissas!$B$14)+AO6-AO7</f>
        <v>484.496282475404</v>
      </c>
      <c r="AP8" s="22" t="n">
        <f aca="false">AO8*(1-Premissas!$B$14)+AP6-AP7</f>
        <v>494.265926987708</v>
      </c>
      <c r="AQ8" s="22" t="n">
        <f aca="false">AP8*(1-Premissas!$B$14)+AQ6-AQ7</f>
        <v>504.219006560838</v>
      </c>
      <c r="AR8" s="22" t="n">
        <f aca="false">AQ8*(1-Premissas!$B$14)+AR6-AR7</f>
        <v>514.360983570424</v>
      </c>
      <c r="AS8" s="22" t="n">
        <f aca="false">AR8*(1-Premissas!$B$14)+AS6-AS7</f>
        <v>524.697160588447</v>
      </c>
      <c r="AT8" s="22" t="n">
        <f aca="false">AS8*(1-Premissas!$B$14)+AT6-AT7</f>
        <v>535.232717544837</v>
      </c>
      <c r="AU8" s="22" t="n">
        <f aca="false">AT8*(1-Premissas!$B$14)+AU6-AU7</f>
        <v>545.972743578663</v>
      </c>
      <c r="AV8" s="22" t="n">
        <f aca="false">AU8*(1-Premissas!$B$14)+AV6-AV7</f>
        <v>556.922264380726</v>
      </c>
      <c r="AW8" s="22" t="n">
        <f aca="false">AV8*(1-Premissas!$B$14)+AW6-AW7</f>
        <v>568.086265709256</v>
      </c>
      <c r="AX8" s="22" t="n">
        <f aca="false">AW8*(1-Premissas!$B$14)+AX6-AX7</f>
        <v>579.46971365822</v>
      </c>
      <c r="AY8" s="22" t="n">
        <f aca="false">AX8*(1-Premissas!$B$14)+AY6-AY7</f>
        <v>591.077572170946</v>
      </c>
      <c r="AZ8" s="22" t="n">
        <f aca="false">AY8*(1-Premissas!$B$14)+AZ6-AZ7</f>
        <v>602.914818217992</v>
      </c>
      <c r="BA8" s="22" t="n">
        <f aca="false">AZ8*(1-Premissas!$B$14)+BA6-BA7</f>
        <v>614.986454995436</v>
      </c>
      <c r="BB8" s="22" t="n">
        <f aca="false">BA8*(1-Premissas!$B$14)+BB6-BB7</f>
        <v>627.297523446465</v>
      </c>
      <c r="BC8" s="22" t="n">
        <f aca="false">BB8*(1-Premissas!$B$14)+BC6-BC7</f>
        <v>639.853112363847</v>
      </c>
      <c r="BD8" s="22" t="n">
        <f aca="false">BC8*(1-Premissas!$B$14)+BD6-BD7</f>
        <v>652.658367292309</v>
      </c>
      <c r="BE8" s="22" t="n">
        <f aca="false">BD8*(1-Premissas!$B$14)+BE6-BE7</f>
        <v>665.718498417162</v>
      </c>
      <c r="BF8" s="22" t="n">
        <f aca="false">BE8*(1-Premissas!$B$14)+BF6-BF7</f>
        <v>679.038787597662</v>
      </c>
      <c r="BG8" s="22" t="n">
        <f aca="false">BF8*(1-Premissas!$B$14)+BG6-BG7</f>
        <v>692.624594679947</v>
      </c>
      <c r="BH8" s="22" t="n">
        <f aca="false">BG8*(1-Premissas!$B$14)+BH6-BH7</f>
        <v>706.481363204329</v>
      </c>
      <c r="BI8" s="22" t="n">
        <f aca="false">BH8*(1-Premissas!$B$14)+BI6-BI7</f>
        <v>720.614625604581</v>
      </c>
      <c r="BJ8" s="22" t="n">
        <f aca="false">BI8*(1-Premissas!$B$14)+BJ6-BJ7</f>
        <v>735.030007982413</v>
      </c>
      <c r="BK8" s="22" t="n">
        <f aca="false">BJ8*(1-Premissas!$B$14)+BK6-BK7</f>
        <v>749.733234527941</v>
      </c>
    </row>
    <row r="9" customFormat="false" ht="15" hidden="false" customHeight="false" outlineLevel="0" collapsed="false">
      <c r="A9" s="9" t="s">
        <v>147</v>
      </c>
      <c r="B9" s="19" t="s">
        <v>144</v>
      </c>
      <c r="C9" s="22" t="n">
        <v>0</v>
      </c>
      <c r="D9" s="22" t="n">
        <f aca="false">D7*Premissas!$B$13</f>
        <v>0</v>
      </c>
      <c r="E9" s="22" t="n">
        <f aca="false">E7*Premissas!$B$13</f>
        <v>0</v>
      </c>
      <c r="F9" s="22" t="n">
        <f aca="false">F7*Premissas!$B$13</f>
        <v>1.08</v>
      </c>
      <c r="G9" s="22" t="n">
        <f aca="false">G7*Premissas!$B$13</f>
        <v>1.1016</v>
      </c>
      <c r="H9" s="22" t="n">
        <f aca="false">H7*Premissas!$B$13</f>
        <v>1.123632</v>
      </c>
      <c r="I9" s="22" t="n">
        <f aca="false">I7*Premissas!$B$13</f>
        <v>1.14610464</v>
      </c>
      <c r="J9" s="22" t="n">
        <f aca="false">J7*Premissas!$B$13</f>
        <v>1.1690267328</v>
      </c>
      <c r="K9" s="22" t="n">
        <f aca="false">K7*Premissas!$B$13</f>
        <v>1.192407267456</v>
      </c>
      <c r="L9" s="22" t="n">
        <f aca="false">L7*Premissas!$B$13</f>
        <v>1.21625541280512</v>
      </c>
      <c r="M9" s="22" t="n">
        <f aca="false">M7*Premissas!$B$13</f>
        <v>1.24058052106122</v>
      </c>
      <c r="N9" s="22" t="n">
        <f aca="false">N7*Premissas!$B$13</f>
        <v>1.26539213148245</v>
      </c>
      <c r="O9" s="22" t="n">
        <f aca="false">O7*Premissas!$B$13</f>
        <v>1.2906999741121</v>
      </c>
      <c r="P9" s="22" t="n">
        <f aca="false">P7*Premissas!$B$13</f>
        <v>1.31651397359434</v>
      </c>
      <c r="Q9" s="22" t="n">
        <f aca="false">Q7*Premissas!$B$13</f>
        <v>1.34284425306622</v>
      </c>
      <c r="R9" s="22" t="n">
        <f aca="false">R7*Premissas!$B$13</f>
        <v>1.36970113812755</v>
      </c>
      <c r="S9" s="22" t="n">
        <f aca="false">S7*Premissas!$B$13</f>
        <v>1.3970951608901</v>
      </c>
      <c r="T9" s="22" t="n">
        <f aca="false">T7*Premissas!$B$13</f>
        <v>1.4250370641079</v>
      </c>
      <c r="U9" s="22" t="n">
        <f aca="false">U7*Premissas!$B$13</f>
        <v>1.45353780539006</v>
      </c>
      <c r="V9" s="22" t="n">
        <f aca="false">V7*Premissas!$B$13</f>
        <v>1.48260856149786</v>
      </c>
      <c r="W9" s="22" t="n">
        <f aca="false">W7*Premissas!$B$13</f>
        <v>1.51226073272782</v>
      </c>
      <c r="X9" s="22" t="n">
        <f aca="false">X7*Premissas!$B$13</f>
        <v>1.54250594738238</v>
      </c>
      <c r="Y9" s="22" t="n">
        <f aca="false">Y7*Premissas!$B$13</f>
        <v>1.57335606633002</v>
      </c>
      <c r="Z9" s="22" t="n">
        <f aca="false">Z7*Premissas!$B$13</f>
        <v>1.60482318765662</v>
      </c>
      <c r="AA9" s="22" t="n">
        <f aca="false">AA7*Premissas!$B$13</f>
        <v>1.63691965140976</v>
      </c>
      <c r="AB9" s="22" t="n">
        <f aca="false">AB7*Premissas!$B$13</f>
        <v>1.66965804443795</v>
      </c>
      <c r="AC9" s="22" t="n">
        <f aca="false">AC7*Premissas!$B$13</f>
        <v>1.70305120532671</v>
      </c>
      <c r="AD9" s="22" t="n">
        <f aca="false">AD7*Premissas!$B$13</f>
        <v>1.73711222943324</v>
      </c>
      <c r="AE9" s="22" t="n">
        <f aca="false">AE7*Premissas!$B$13</f>
        <v>1.77185447402191</v>
      </c>
      <c r="AF9" s="22" t="n">
        <f aca="false">AF7*Premissas!$B$13</f>
        <v>1.80729156350235</v>
      </c>
      <c r="AG9" s="22" t="n">
        <f aca="false">AG7*Premissas!$B$13</f>
        <v>1.84343739477239</v>
      </c>
      <c r="AH9" s="22" t="n">
        <f aca="false">AH7*Premissas!$B$13</f>
        <v>1.88030614266784</v>
      </c>
      <c r="AI9" s="22" t="n">
        <f aca="false">AI7*Premissas!$B$13</f>
        <v>1.9179122655212</v>
      </c>
      <c r="AJ9" s="22" t="n">
        <f aca="false">AJ7*Premissas!$B$13</f>
        <v>1.95627051083162</v>
      </c>
      <c r="AK9" s="22" t="n">
        <f aca="false">AK7*Premissas!$B$13</f>
        <v>1.99539592104826</v>
      </c>
      <c r="AL9" s="22" t="n">
        <f aca="false">AL7*Premissas!$B$13</f>
        <v>2.03530383946922</v>
      </c>
      <c r="AM9" s="22" t="n">
        <f aca="false">AM7*Premissas!$B$13</f>
        <v>2.07600991625861</v>
      </c>
      <c r="AN9" s="22" t="n">
        <f aca="false">AN7*Premissas!$B$13</f>
        <v>2.11753011458378</v>
      </c>
      <c r="AO9" s="22" t="n">
        <f aca="false">AO7*Premissas!$B$13</f>
        <v>2.15988071687545</v>
      </c>
      <c r="AP9" s="22" t="n">
        <f aca="false">AP7*Premissas!$B$13</f>
        <v>2.20307833121296</v>
      </c>
      <c r="AQ9" s="22" t="n">
        <f aca="false">AQ7*Premissas!$B$13</f>
        <v>2.24713989783722</v>
      </c>
      <c r="AR9" s="22" t="n">
        <f aca="false">AR7*Premissas!$B$13</f>
        <v>2.29208269579397</v>
      </c>
      <c r="AS9" s="22" t="n">
        <f aca="false">AS7*Premissas!$B$13</f>
        <v>2.33792434970984</v>
      </c>
      <c r="AT9" s="22" t="n">
        <f aca="false">AT7*Premissas!$B$13</f>
        <v>2.38468283670404</v>
      </c>
      <c r="AU9" s="22" t="n">
        <f aca="false">AU7*Premissas!$B$13</f>
        <v>2.43237649343812</v>
      </c>
      <c r="AV9" s="22" t="n">
        <f aca="false">AV7*Premissas!$B$13</f>
        <v>2.48102402330689</v>
      </c>
      <c r="AW9" s="22" t="n">
        <f aca="false">AW7*Premissas!$B$13</f>
        <v>2.53064450377302</v>
      </c>
      <c r="AX9" s="22" t="n">
        <f aca="false">AX7*Premissas!$B$13</f>
        <v>2.58125739384848</v>
      </c>
      <c r="AY9" s="22" t="n">
        <f aca="false">AY7*Premissas!$B$13</f>
        <v>2.63288254172545</v>
      </c>
      <c r="AZ9" s="22" t="n">
        <f aca="false">AZ7*Premissas!$B$13</f>
        <v>2.68554019255996</v>
      </c>
      <c r="BA9" s="22" t="n">
        <f aca="false">BA7*Premissas!$B$13</f>
        <v>2.73925099641116</v>
      </c>
      <c r="BB9" s="22" t="n">
        <f aca="false">BB7*Premissas!$B$13</f>
        <v>2.79403601633938</v>
      </c>
      <c r="BC9" s="22" t="n">
        <f aca="false">BC7*Premissas!$B$13</f>
        <v>2.84991673666617</v>
      </c>
      <c r="BD9" s="22" t="n">
        <f aca="false">BD7*Premissas!$B$13</f>
        <v>2.9069150713995</v>
      </c>
      <c r="BE9" s="22" t="n">
        <f aca="false">BE7*Premissas!$B$13</f>
        <v>2.96505337282749</v>
      </c>
      <c r="BF9" s="22" t="n">
        <f aca="false">BF7*Premissas!$B$13</f>
        <v>3.02435444028404</v>
      </c>
      <c r="BG9" s="22" t="n">
        <f aca="false">BG7*Premissas!$B$13</f>
        <v>3.08484152908972</v>
      </c>
      <c r="BH9" s="22" t="n">
        <f aca="false">BH7*Premissas!$B$13</f>
        <v>3.14653835967151</v>
      </c>
      <c r="BI9" s="22" t="n">
        <f aca="false">BI7*Premissas!$B$13</f>
        <v>3.20946912686494</v>
      </c>
      <c r="BJ9" s="22" t="n">
        <f aca="false">BJ7*Premissas!$B$13</f>
        <v>3.27365850940224</v>
      </c>
      <c r="BK9" s="22" t="n">
        <f aca="false">BK7*Premissas!$B$13</f>
        <v>3.33913167959028</v>
      </c>
    </row>
    <row r="10" customFormat="false" ht="15" hidden="false" customHeight="false" outlineLevel="0" collapsed="false">
      <c r="A10" s="9" t="s">
        <v>148</v>
      </c>
      <c r="B10" s="19" t="s">
        <v>144</v>
      </c>
      <c r="C10" s="22" t="n">
        <v>0</v>
      </c>
      <c r="D10" s="22" t="n">
        <f aca="false">D7*(1-Premissas!$B$13)</f>
        <v>0</v>
      </c>
      <c r="E10" s="22" t="n">
        <f aca="false">E7*(1-Premissas!$B$13)</f>
        <v>0</v>
      </c>
      <c r="F10" s="22" t="n">
        <f aca="false">F7*(1-Premissas!$B$13)</f>
        <v>0.12</v>
      </c>
      <c r="G10" s="22" t="n">
        <f aca="false">G7*(1-Premissas!$B$13)</f>
        <v>0.1224</v>
      </c>
      <c r="H10" s="22" t="n">
        <f aca="false">H7*(1-Premissas!$B$13)</f>
        <v>0.124848</v>
      </c>
      <c r="I10" s="22" t="n">
        <f aca="false">I7*(1-Premissas!$B$13)</f>
        <v>0.12734496</v>
      </c>
      <c r="J10" s="22" t="n">
        <f aca="false">J7*(1-Premissas!$B$13)</f>
        <v>0.1298918592</v>
      </c>
      <c r="K10" s="22" t="n">
        <f aca="false">K7*(1-Premissas!$B$13)</f>
        <v>0.132489696384</v>
      </c>
      <c r="L10" s="22" t="n">
        <f aca="false">L7*(1-Premissas!$B$13)</f>
        <v>0.13513949031168</v>
      </c>
      <c r="M10" s="22" t="n">
        <f aca="false">M7*(1-Premissas!$B$13)</f>
        <v>0.137842280117914</v>
      </c>
      <c r="N10" s="22" t="n">
        <f aca="false">N7*(1-Premissas!$B$13)</f>
        <v>0.140599125720272</v>
      </c>
      <c r="O10" s="22" t="n">
        <f aca="false">O7*(1-Premissas!$B$13)</f>
        <v>0.143411108234677</v>
      </c>
      <c r="P10" s="22" t="n">
        <f aca="false">P7*(1-Premissas!$B$13)</f>
        <v>0.146279330399371</v>
      </c>
      <c r="Q10" s="22" t="n">
        <f aca="false">Q7*(1-Premissas!$B$13)</f>
        <v>0.149204917007358</v>
      </c>
      <c r="R10" s="22" t="n">
        <f aca="false">R7*(1-Premissas!$B$13)</f>
        <v>0.152189015347505</v>
      </c>
      <c r="S10" s="22" t="n">
        <f aca="false">S7*(1-Premissas!$B$13)</f>
        <v>0.155232795654456</v>
      </c>
      <c r="T10" s="22" t="n">
        <f aca="false">T7*(1-Premissas!$B$13)</f>
        <v>0.158337451567545</v>
      </c>
      <c r="U10" s="22" t="n">
        <f aca="false">U7*(1-Premissas!$B$13)</f>
        <v>0.161504200598896</v>
      </c>
      <c r="V10" s="22" t="n">
        <f aca="false">V7*(1-Premissas!$B$13)</f>
        <v>0.164734284610873</v>
      </c>
      <c r="W10" s="22" t="n">
        <f aca="false">W7*(1-Premissas!$B$13)</f>
        <v>0.168028970303091</v>
      </c>
      <c r="X10" s="22" t="n">
        <f aca="false">X7*(1-Premissas!$B$13)</f>
        <v>0.171389549709153</v>
      </c>
      <c r="Y10" s="22" t="n">
        <f aca="false">Y7*(1-Premissas!$B$13)</f>
        <v>0.174817340703336</v>
      </c>
      <c r="Z10" s="22" t="n">
        <f aca="false">Z7*(1-Premissas!$B$13)</f>
        <v>0.178313687517403</v>
      </c>
      <c r="AA10" s="22" t="n">
        <f aca="false">AA7*(1-Premissas!$B$13)</f>
        <v>0.181879961267751</v>
      </c>
      <c r="AB10" s="22" t="n">
        <f aca="false">AB7*(1-Premissas!$B$13)</f>
        <v>0.185517560493106</v>
      </c>
      <c r="AC10" s="22" t="n">
        <f aca="false">AC7*(1-Premissas!$B$13)</f>
        <v>0.189227911702968</v>
      </c>
      <c r="AD10" s="22" t="n">
        <f aca="false">AD7*(1-Premissas!$B$13)</f>
        <v>0.193012469937027</v>
      </c>
      <c r="AE10" s="22" t="n">
        <f aca="false">AE7*(1-Premissas!$B$13)</f>
        <v>0.196872719335768</v>
      </c>
      <c r="AF10" s="22" t="n">
        <f aca="false">AF7*(1-Premissas!$B$13)</f>
        <v>0.200810173722483</v>
      </c>
      <c r="AG10" s="22" t="n">
        <f aca="false">AG7*(1-Premissas!$B$13)</f>
        <v>0.204826377196933</v>
      </c>
      <c r="AH10" s="22" t="n">
        <f aca="false">AH7*(1-Premissas!$B$13)</f>
        <v>0.208922904740871</v>
      </c>
      <c r="AI10" s="22" t="n">
        <f aca="false">AI7*(1-Premissas!$B$13)</f>
        <v>0.213101362835689</v>
      </c>
      <c r="AJ10" s="22" t="n">
        <f aca="false">AJ7*(1-Premissas!$B$13)</f>
        <v>0.217363390092403</v>
      </c>
      <c r="AK10" s="22" t="n">
        <f aca="false">AK7*(1-Premissas!$B$13)</f>
        <v>0.221710657894251</v>
      </c>
      <c r="AL10" s="22" t="n">
        <f aca="false">AL7*(1-Premissas!$B$13)</f>
        <v>0.226144871052136</v>
      </c>
      <c r="AM10" s="22" t="n">
        <f aca="false">AM7*(1-Premissas!$B$13)</f>
        <v>0.230667768473178</v>
      </c>
      <c r="AN10" s="22" t="n">
        <f aca="false">AN7*(1-Premissas!$B$13)</f>
        <v>0.235281123842642</v>
      </c>
      <c r="AO10" s="22" t="n">
        <f aca="false">AO7*(1-Premissas!$B$13)</f>
        <v>0.239986746319495</v>
      </c>
      <c r="AP10" s="22" t="n">
        <f aca="false">AP7*(1-Premissas!$B$13)</f>
        <v>0.244786481245885</v>
      </c>
      <c r="AQ10" s="22" t="n">
        <f aca="false">AQ7*(1-Premissas!$B$13)</f>
        <v>0.249682210870802</v>
      </c>
      <c r="AR10" s="22" t="n">
        <f aca="false">AR7*(1-Premissas!$B$13)</f>
        <v>0.254675855088218</v>
      </c>
      <c r="AS10" s="22" t="n">
        <f aca="false">AS7*(1-Premissas!$B$13)</f>
        <v>0.259769372189983</v>
      </c>
      <c r="AT10" s="22" t="n">
        <f aca="false">AT7*(1-Premissas!$B$13)</f>
        <v>0.264964759633782</v>
      </c>
      <c r="AU10" s="22" t="n">
        <f aca="false">AU7*(1-Premissas!$B$13)</f>
        <v>0.270264054826458</v>
      </c>
      <c r="AV10" s="22" t="n">
        <f aca="false">AV7*(1-Premissas!$B$13)</f>
        <v>0.275669335922987</v>
      </c>
      <c r="AW10" s="22" t="n">
        <f aca="false">AW7*(1-Premissas!$B$13)</f>
        <v>0.281182722641447</v>
      </c>
      <c r="AX10" s="22" t="n">
        <f aca="false">AX7*(1-Premissas!$B$13)</f>
        <v>0.286806377094276</v>
      </c>
      <c r="AY10" s="22" t="n">
        <f aca="false">AY7*(1-Premissas!$B$13)</f>
        <v>0.292542504636161</v>
      </c>
      <c r="AZ10" s="22" t="n">
        <f aca="false">AZ7*(1-Premissas!$B$13)</f>
        <v>0.298393354728885</v>
      </c>
      <c r="BA10" s="22" t="n">
        <f aca="false">BA7*(1-Premissas!$B$13)</f>
        <v>0.304361221823462</v>
      </c>
      <c r="BB10" s="22" t="n">
        <f aca="false">BB7*(1-Premissas!$B$13)</f>
        <v>0.310448446259932</v>
      </c>
      <c r="BC10" s="22" t="n">
        <f aca="false">BC7*(1-Premissas!$B$13)</f>
        <v>0.31665741518513</v>
      </c>
      <c r="BD10" s="22" t="n">
        <f aca="false">BD7*(1-Premissas!$B$13)</f>
        <v>0.322990563488833</v>
      </c>
      <c r="BE10" s="22" t="n">
        <f aca="false">BE7*(1-Premissas!$B$13)</f>
        <v>0.329450374758609</v>
      </c>
      <c r="BF10" s="22" t="n">
        <f aca="false">BF7*(1-Premissas!$B$13)</f>
        <v>0.336039382253782</v>
      </c>
      <c r="BG10" s="22" t="n">
        <f aca="false">BG7*(1-Premissas!$B$13)</f>
        <v>0.342760169898857</v>
      </c>
      <c r="BH10" s="22" t="n">
        <f aca="false">BH7*(1-Premissas!$B$13)</f>
        <v>0.349615373296834</v>
      </c>
      <c r="BI10" s="22" t="n">
        <f aca="false">BI7*(1-Premissas!$B$13)</f>
        <v>0.356607680762771</v>
      </c>
      <c r="BJ10" s="22" t="n">
        <f aca="false">BJ7*(1-Premissas!$B$13)</f>
        <v>0.363739834378027</v>
      </c>
      <c r="BK10" s="22" t="n">
        <f aca="false">BK7*(1-Premissas!$B$13)</f>
        <v>0.371014631065587</v>
      </c>
    </row>
    <row r="11" customFormat="false" ht="15" hidden="false" customHeight="false" outlineLevel="0" collapsed="false">
      <c r="A11" s="9" t="s">
        <v>149</v>
      </c>
      <c r="B11" s="19" t="s">
        <v>144</v>
      </c>
      <c r="C11" s="22" t="n">
        <v>0</v>
      </c>
      <c r="D11" s="22" t="n">
        <f aca="false">C11*(1-Premissas!$B$15)+D9</f>
        <v>0</v>
      </c>
      <c r="E11" s="22" t="n">
        <f aca="false">D11*(1-Premissas!$B$15)+E9</f>
        <v>0</v>
      </c>
      <c r="F11" s="22" t="n">
        <f aca="false">E11*(1-Premissas!$B$15)+F9</f>
        <v>1.08</v>
      </c>
      <c r="G11" s="22" t="n">
        <f aca="false">F11*(1-Premissas!$B$15)+G9</f>
        <v>2.0952</v>
      </c>
      <c r="H11" s="22" t="n">
        <f aca="false">G11*(1-Premissas!$B$15)+H9</f>
        <v>3.051216</v>
      </c>
      <c r="I11" s="22" t="n">
        <f aca="false">H11*(1-Premissas!$B$15)+I9</f>
        <v>3.95322336</v>
      </c>
      <c r="J11" s="22" t="n">
        <f aca="false">I11*(1-Premissas!$B$15)+J9</f>
        <v>4.805992224</v>
      </c>
      <c r="K11" s="22" t="n">
        <f aca="false">J11*(1-Premissas!$B$15)+K9</f>
        <v>5.613920113536</v>
      </c>
      <c r="L11" s="22" t="n">
        <f aca="false">K11*(1-Premissas!$B$15)+L9</f>
        <v>6.38106191725824</v>
      </c>
      <c r="M11" s="22" t="n">
        <f aca="false">L11*(1-Premissas!$B$15)+M9</f>
        <v>7.1111574849388</v>
      </c>
      <c r="N11" s="22" t="n">
        <f aca="false">M11*(1-Premissas!$B$15)+N9</f>
        <v>7.80765701762615</v>
      </c>
      <c r="O11" s="22" t="n">
        <f aca="false">N11*(1-Premissas!$B$15)+O9</f>
        <v>8.47374443032815</v>
      </c>
      <c r="P11" s="22" t="n">
        <f aca="false">O11*(1-Premissas!$B$15)+P9</f>
        <v>9.11235884949624</v>
      </c>
      <c r="Q11" s="22" t="n">
        <f aca="false">P11*(1-Premissas!$B$15)+Q9</f>
        <v>9.72621439460276</v>
      </c>
      <c r="R11" s="22" t="n">
        <f aca="false">Q11*(1-Premissas!$B$15)+R9</f>
        <v>10.3178183811621</v>
      </c>
      <c r="S11" s="22" t="n">
        <f aca="false">R11*(1-Premissas!$B$15)+S9</f>
        <v>10.8894880715592</v>
      </c>
      <c r="T11" s="22" t="n">
        <f aca="false">S11*(1-Premissas!$B$15)+T9</f>
        <v>11.4433660899424</v>
      </c>
      <c r="U11" s="22" t="n">
        <f aca="false">T11*(1-Premissas!$B$15)+U9</f>
        <v>11.9814346081371</v>
      </c>
      <c r="V11" s="22" t="n">
        <f aca="false">U11*(1-Premissas!$B$15)+V9</f>
        <v>12.505528400984</v>
      </c>
      <c r="W11" s="22" t="n">
        <f aca="false">V11*(1-Premissas!$B$15)+W9</f>
        <v>13.0173468616331</v>
      </c>
      <c r="X11" s="22" t="n">
        <f aca="false">W11*(1-Premissas!$B$15)+X9</f>
        <v>13.5184650600848</v>
      </c>
      <c r="Y11" s="22" t="n">
        <f aca="false">X11*(1-Premissas!$B$15)+Y9</f>
        <v>14.010343921608</v>
      </c>
      <c r="Z11" s="22" t="n">
        <f aca="false">Y11*(1-Premissas!$B$15)+Z9</f>
        <v>14.494339595536</v>
      </c>
      <c r="AA11" s="22" t="n">
        <f aca="false">Z11*(1-Premissas!$B$15)+AA9</f>
        <v>14.9717120793029</v>
      </c>
      <c r="AB11" s="22" t="n">
        <f aca="false">AA11*(1-Premissas!$B$15)+AB9</f>
        <v>15.4436331573966</v>
      </c>
      <c r="AC11" s="22" t="n">
        <f aca="false">AB11*(1-Premissas!$B$15)+AC9</f>
        <v>15.9111937101316</v>
      </c>
      <c r="AD11" s="22" t="n">
        <f aca="false">AC11*(1-Premissas!$B$15)+AD9</f>
        <v>16.3754104427543</v>
      </c>
      <c r="AE11" s="22" t="n">
        <f aca="false">AD11*(1-Premissas!$B$15)+AE9</f>
        <v>16.8372320813559</v>
      </c>
      <c r="AF11" s="22" t="n">
        <f aca="false">AE11*(1-Premissas!$B$15)+AF9</f>
        <v>17.2975450783497</v>
      </c>
      <c r="AG11" s="22" t="n">
        <f aca="false">AF11*(1-Premissas!$B$15)+AG9</f>
        <v>17.7571788668542</v>
      </c>
      <c r="AH11" s="22" t="n">
        <f aca="false">AG11*(1-Premissas!$B$15)+AH9</f>
        <v>18.2169107001737</v>
      </c>
      <c r="AI11" s="22" t="n">
        <f aca="false">AH11*(1-Premissas!$B$15)+AI9</f>
        <v>18.677470109681</v>
      </c>
      <c r="AJ11" s="22" t="n">
        <f aca="false">AI11*(1-Premissas!$B$15)+AJ9</f>
        <v>19.1395430117381</v>
      </c>
      <c r="AK11" s="22" t="n">
        <f aca="false">AJ11*(1-Premissas!$B$15)+AK9</f>
        <v>19.6037754918473</v>
      </c>
      <c r="AL11" s="22" t="n">
        <f aca="false">AK11*(1-Premissas!$B$15)+AL9</f>
        <v>20.0707772919688</v>
      </c>
      <c r="AM11" s="22" t="n">
        <f aca="false">AL11*(1-Premissas!$B$15)+AM9</f>
        <v>20.5411250248699</v>
      </c>
      <c r="AN11" s="22" t="n">
        <f aca="false">AM11*(1-Premissas!$B$15)+AN9</f>
        <v>21.0153651374641</v>
      </c>
      <c r="AO11" s="22" t="n">
        <f aca="false">AN11*(1-Premissas!$B$15)+AO9</f>
        <v>21.4940166433424</v>
      </c>
      <c r="AP11" s="22" t="n">
        <f aca="false">AO11*(1-Premissas!$B$15)+AP9</f>
        <v>21.977573643088</v>
      </c>
      <c r="AQ11" s="22" t="n">
        <f aca="false">AP11*(1-Premissas!$B$15)+AQ9</f>
        <v>22.4665076494781</v>
      </c>
      <c r="AR11" s="22" t="n">
        <f aca="false">AQ11*(1-Premissas!$B$15)+AR9</f>
        <v>22.9612697333139</v>
      </c>
      <c r="AS11" s="22" t="n">
        <f aca="false">AR11*(1-Premissas!$B$15)+AS9</f>
        <v>23.4622925043586</v>
      </c>
      <c r="AT11" s="22" t="n">
        <f aca="false">AS11*(1-Premissas!$B$15)+AT9</f>
        <v>23.969991940714</v>
      </c>
      <c r="AU11" s="22" t="n">
        <f aca="false">AT11*(1-Premissas!$B$15)+AU9</f>
        <v>24.484769078895</v>
      </c>
      <c r="AV11" s="22" t="n">
        <f aca="false">AU11*(1-Premissas!$B$15)+AV9</f>
        <v>25.0070115758902</v>
      </c>
      <c r="AW11" s="22" t="n">
        <f aca="false">AV11*(1-Premissas!$B$15)+AW9</f>
        <v>25.5370951535921</v>
      </c>
      <c r="AX11" s="22" t="n">
        <f aca="false">AW11*(1-Premissas!$B$15)+AX9</f>
        <v>26.0753849351532</v>
      </c>
      <c r="AY11" s="22" t="n">
        <f aca="false">AX11*(1-Premissas!$B$15)+AY9</f>
        <v>26.6222366820664</v>
      </c>
      <c r="AZ11" s="22" t="n">
        <f aca="false">AY11*(1-Premissas!$B$15)+AZ9</f>
        <v>27.177997940061</v>
      </c>
      <c r="BA11" s="22" t="n">
        <f aca="false">AZ11*(1-Premissas!$B$15)+BA9</f>
        <v>27.7430091012673</v>
      </c>
      <c r="BB11" s="22" t="n">
        <f aca="false">BA11*(1-Premissas!$B$15)+BB9</f>
        <v>28.3176043895053</v>
      </c>
      <c r="BC11" s="22" t="n">
        <f aca="false">BB11*(1-Premissas!$B$15)+BC9</f>
        <v>28.9021127750111</v>
      </c>
      <c r="BD11" s="22" t="n">
        <f aca="false">BC11*(1-Premissas!$B$15)+BD9</f>
        <v>29.4968588244097</v>
      </c>
      <c r="BE11" s="22" t="n">
        <f aca="false">BD11*(1-Premissas!$B$15)+BE9</f>
        <v>30.1021634912844</v>
      </c>
      <c r="BF11" s="22" t="n">
        <f aca="false">BE11*(1-Premissas!$B$15)+BF9</f>
        <v>30.7183448522657</v>
      </c>
      <c r="BG11" s="22" t="n">
        <f aca="false">BF11*(1-Premissas!$B$15)+BG9</f>
        <v>31.3457187931741</v>
      </c>
      <c r="BH11" s="22" t="n">
        <f aca="false">BG11*(1-Premissas!$B$15)+BH9</f>
        <v>31.9845996493917</v>
      </c>
      <c r="BI11" s="22" t="n">
        <f aca="false">BH11*(1-Premissas!$B$15)+BI9</f>
        <v>32.6353008043053</v>
      </c>
      <c r="BJ11" s="22" t="n">
        <f aca="false">BI11*(1-Premissas!$B$15)+BJ9</f>
        <v>33.2981352493631</v>
      </c>
      <c r="BK11" s="22" t="n">
        <f aca="false">BJ11*(1-Premissas!$B$15)+BK9</f>
        <v>33.9734161090044</v>
      </c>
    </row>
    <row r="12" customFormat="false" ht="15" hidden="false" customHeight="false" outlineLevel="0" collapsed="false">
      <c r="A12" s="9" t="s">
        <v>150</v>
      </c>
      <c r="B12" s="19" t="s">
        <v>144</v>
      </c>
      <c r="C12" s="22" t="n">
        <v>0</v>
      </c>
      <c r="D12" s="22" t="n">
        <f aca="false">C12*(1-Premissas!$B$15)+D10</f>
        <v>0</v>
      </c>
      <c r="E12" s="22" t="n">
        <f aca="false">D12*(1-Premissas!$B$15)+E10</f>
        <v>0</v>
      </c>
      <c r="F12" s="22" t="n">
        <f aca="false">E12*(1-Premissas!$B$15)+F10</f>
        <v>0.12</v>
      </c>
      <c r="G12" s="22" t="n">
        <f aca="false">F12*(1-Premissas!$B$15)+G10</f>
        <v>0.2328</v>
      </c>
      <c r="H12" s="22" t="n">
        <f aca="false">G12*(1-Premissas!$B$15)+H10</f>
        <v>0.339024</v>
      </c>
      <c r="I12" s="22" t="n">
        <f aca="false">H12*(1-Premissas!$B$15)+I10</f>
        <v>0.43924704</v>
      </c>
      <c r="J12" s="22" t="n">
        <f aca="false">I12*(1-Premissas!$B$15)+J10</f>
        <v>0.533999136</v>
      </c>
      <c r="K12" s="22" t="n">
        <f aca="false">J12*(1-Premissas!$B$15)+K10</f>
        <v>0.623768901504</v>
      </c>
      <c r="L12" s="22" t="n">
        <f aca="false">K12*(1-Premissas!$B$15)+L10</f>
        <v>0.70900687969536</v>
      </c>
      <c r="M12" s="22" t="n">
        <f aca="false">L12*(1-Premissas!$B$15)+M10</f>
        <v>0.790128609437645</v>
      </c>
      <c r="N12" s="22" t="n">
        <f aca="false">M12*(1-Premissas!$B$15)+N10</f>
        <v>0.867517446402905</v>
      </c>
      <c r="O12" s="22" t="n">
        <f aca="false">N12*(1-Premissas!$B$15)+O10</f>
        <v>0.94152715892535</v>
      </c>
      <c r="P12" s="22" t="n">
        <f aca="false">O12*(1-Premissas!$B$15)+P10</f>
        <v>1.01248431661069</v>
      </c>
      <c r="Q12" s="22" t="n">
        <f aca="false">P12*(1-Premissas!$B$15)+Q10</f>
        <v>1.0806904882892</v>
      </c>
      <c r="R12" s="22" t="n">
        <f aca="false">Q12*(1-Premissas!$B$15)+R10</f>
        <v>1.14642426457357</v>
      </c>
      <c r="S12" s="22" t="n">
        <f aca="false">R12*(1-Premissas!$B$15)+S10</f>
        <v>1.20994311906214</v>
      </c>
      <c r="T12" s="22" t="n">
        <f aca="false">S12*(1-Premissas!$B$15)+T10</f>
        <v>1.27148512110471</v>
      </c>
      <c r="U12" s="22" t="n">
        <f aca="false">T12*(1-Premissas!$B$15)+U10</f>
        <v>1.33127051201523</v>
      </c>
      <c r="V12" s="22" t="n">
        <f aca="false">U12*(1-Premissas!$B$15)+V10</f>
        <v>1.38950315566488</v>
      </c>
      <c r="W12" s="22" t="n">
        <f aca="false">V12*(1-Premissas!$B$15)+W10</f>
        <v>1.44637187351478</v>
      </c>
      <c r="X12" s="22" t="n">
        <f aca="false">W12*(1-Premissas!$B$15)+X10</f>
        <v>1.50205167334275</v>
      </c>
      <c r="Y12" s="22" t="n">
        <f aca="false">X12*(1-Premissas!$B$15)+Y10</f>
        <v>1.55670488017867</v>
      </c>
      <c r="Z12" s="22" t="n">
        <f aca="false">Y12*(1-Premissas!$B$15)+Z10</f>
        <v>1.61048217728178</v>
      </c>
      <c r="AA12" s="22" t="n">
        <f aca="false">Z12*(1-Premissas!$B$15)+AA10</f>
        <v>1.66352356436699</v>
      </c>
      <c r="AB12" s="22" t="n">
        <f aca="false">AA12*(1-Premissas!$B$15)+AB10</f>
        <v>1.71595923971073</v>
      </c>
      <c r="AC12" s="22" t="n">
        <f aca="false">AB12*(1-Premissas!$B$15)+AC10</f>
        <v>1.76791041223684</v>
      </c>
      <c r="AD12" s="22" t="n">
        <f aca="false">AC12*(1-Premissas!$B$15)+AD10</f>
        <v>1.81949004919492</v>
      </c>
      <c r="AE12" s="22" t="n">
        <f aca="false">AD12*(1-Premissas!$B$15)+AE10</f>
        <v>1.8708035645951</v>
      </c>
      <c r="AF12" s="22" t="n">
        <f aca="false">AE12*(1-Premissas!$B$15)+AF10</f>
        <v>1.92194945314997</v>
      </c>
      <c r="AG12" s="22" t="n">
        <f aca="false">AF12*(1-Premissas!$B$15)+AG10</f>
        <v>1.97301987409491</v>
      </c>
      <c r="AH12" s="22" t="n">
        <f aca="false">AG12*(1-Premissas!$B$15)+AH10</f>
        <v>2.02410118890819</v>
      </c>
      <c r="AI12" s="22" t="n">
        <f aca="false">AH12*(1-Premissas!$B$15)+AI10</f>
        <v>2.07527445663122</v>
      </c>
      <c r="AJ12" s="22" t="n">
        <f aca="false">AI12*(1-Premissas!$B$15)+AJ10</f>
        <v>2.12661589019312</v>
      </c>
      <c r="AK12" s="22" t="n">
        <f aca="false">AJ12*(1-Premissas!$B$15)+AK10</f>
        <v>2.17819727687192</v>
      </c>
      <c r="AL12" s="22" t="n">
        <f aca="false">AK12*(1-Premissas!$B$15)+AL10</f>
        <v>2.23008636577431</v>
      </c>
      <c r="AM12" s="22" t="n">
        <f aca="false">AL12*(1-Premissas!$B$15)+AM10</f>
        <v>2.28234722498554</v>
      </c>
      <c r="AN12" s="22" t="n">
        <f aca="false">AM12*(1-Premissas!$B$15)+AN10</f>
        <v>2.33504057082934</v>
      </c>
      <c r="AO12" s="22" t="n">
        <f aca="false">AN12*(1-Premissas!$B$15)+AO10</f>
        <v>2.38822407148249</v>
      </c>
      <c r="AP12" s="22" t="n">
        <f aca="false">AO12*(1-Premissas!$B$15)+AP10</f>
        <v>2.44195262700977</v>
      </c>
      <c r="AQ12" s="22" t="n">
        <f aca="false">AP12*(1-Premissas!$B$15)+AQ10</f>
        <v>2.49627862771979</v>
      </c>
      <c r="AR12" s="22" t="n">
        <f aca="false">AQ12*(1-Premissas!$B$15)+AR10</f>
        <v>2.55125219259043</v>
      </c>
      <c r="AS12" s="22" t="n">
        <f aca="false">AR12*(1-Premissas!$B$15)+AS10</f>
        <v>2.60692138937318</v>
      </c>
      <c r="AT12" s="22" t="n">
        <f aca="false">AS12*(1-Premissas!$B$15)+AT10</f>
        <v>2.66333243785711</v>
      </c>
      <c r="AU12" s="22" t="n">
        <f aca="false">AT12*(1-Premissas!$B$15)+AU10</f>
        <v>2.720529897655</v>
      </c>
      <c r="AV12" s="22" t="n">
        <f aca="false">AU12*(1-Premissas!$B$15)+AV10</f>
        <v>2.77855684176558</v>
      </c>
      <c r="AW12" s="22" t="n">
        <f aca="false">AV12*(1-Premissas!$B$15)+AW10</f>
        <v>2.83745501706578</v>
      </c>
      <c r="AX12" s="22" t="n">
        <f aca="false">AW12*(1-Premissas!$B$15)+AX10</f>
        <v>2.8972649927948</v>
      </c>
      <c r="AY12" s="22" t="n">
        <f aca="false">AX12*(1-Premissas!$B$15)+AY10</f>
        <v>2.95802629800737</v>
      </c>
      <c r="AZ12" s="22" t="n">
        <f aca="false">AY12*(1-Premissas!$B$15)+AZ10</f>
        <v>3.01977754889567</v>
      </c>
      <c r="BA12" s="22" t="n">
        <f aca="false">AZ12*(1-Premissas!$B$15)+BA10</f>
        <v>3.08255656680748</v>
      </c>
      <c r="BB12" s="22" t="n">
        <f aca="false">BA12*(1-Premissas!$B$15)+BB10</f>
        <v>3.14640048772281</v>
      </c>
      <c r="BC12" s="22" t="n">
        <f aca="false">BB12*(1-Premissas!$B$15)+BC10</f>
        <v>3.21134586389012</v>
      </c>
      <c r="BD12" s="22" t="n">
        <f aca="false">BC12*(1-Premissas!$B$15)+BD10</f>
        <v>3.27742875826774</v>
      </c>
      <c r="BE12" s="22" t="n">
        <f aca="false">BD12*(1-Premissas!$B$15)+BE10</f>
        <v>3.34468483236493</v>
      </c>
      <c r="BF12" s="22" t="n">
        <f aca="false">BE12*(1-Premissas!$B$15)+BF10</f>
        <v>3.41314942802952</v>
      </c>
      <c r="BG12" s="22" t="n">
        <f aca="false">BF12*(1-Premissas!$B$15)+BG10</f>
        <v>3.48285764368601</v>
      </c>
      <c r="BH12" s="22" t="n">
        <f aca="false">BG12*(1-Premissas!$B$15)+BH10</f>
        <v>3.55384440548797</v>
      </c>
      <c r="BI12" s="22" t="n">
        <f aca="false">BH12*(1-Premissas!$B$15)+BI10</f>
        <v>3.6261445338117</v>
      </c>
      <c r="BJ12" s="22" t="n">
        <f aca="false">BI12*(1-Premissas!$B$15)+BJ10</f>
        <v>3.69979280548479</v>
      </c>
      <c r="BK12" s="22" t="n">
        <f aca="false">BJ12*(1-Premissas!$B$15)+BK10</f>
        <v>3.77482401211159</v>
      </c>
    </row>
    <row r="13" customFormat="false" ht="15" hidden="false" customHeight="false" outlineLevel="0" collapsed="false">
      <c r="A13" s="13" t="s">
        <v>151</v>
      </c>
      <c r="B13" s="19" t="s">
        <v>144</v>
      </c>
      <c r="C13" s="23" t="n">
        <v>0</v>
      </c>
      <c r="D13" s="23" t="n">
        <f aca="false">D11+D12</f>
        <v>0</v>
      </c>
      <c r="E13" s="23" t="n">
        <f aca="false">E11+E12</f>
        <v>0</v>
      </c>
      <c r="F13" s="23" t="n">
        <f aca="false">F11+F12</f>
        <v>1.2</v>
      </c>
      <c r="G13" s="23" t="n">
        <f aca="false">G11+G12</f>
        <v>2.328</v>
      </c>
      <c r="H13" s="23" t="n">
        <f aca="false">H11+H12</f>
        <v>3.39024</v>
      </c>
      <c r="I13" s="23" t="n">
        <f aca="false">I11+I12</f>
        <v>4.3924704</v>
      </c>
      <c r="J13" s="23" t="n">
        <f aca="false">J11+J12</f>
        <v>5.33999136</v>
      </c>
      <c r="K13" s="23" t="n">
        <f aca="false">K11+K12</f>
        <v>6.23768901504</v>
      </c>
      <c r="L13" s="23" t="n">
        <f aca="false">L11+L12</f>
        <v>7.0900687969536</v>
      </c>
      <c r="M13" s="23" t="n">
        <f aca="false">M11+M12</f>
        <v>7.90128609437645</v>
      </c>
      <c r="N13" s="23" t="n">
        <f aca="false">N11+N12</f>
        <v>8.67517446402905</v>
      </c>
      <c r="O13" s="23" t="n">
        <f aca="false">O11+O12</f>
        <v>9.4152715892535</v>
      </c>
      <c r="P13" s="23" t="n">
        <f aca="false">P11+P12</f>
        <v>10.1248431661069</v>
      </c>
      <c r="Q13" s="23" t="n">
        <f aca="false">Q11+Q12</f>
        <v>10.806904882892</v>
      </c>
      <c r="R13" s="23" t="n">
        <f aca="false">R11+R12</f>
        <v>11.4642426457357</v>
      </c>
      <c r="S13" s="23" t="n">
        <f aca="false">S11+S12</f>
        <v>12.0994311906214</v>
      </c>
      <c r="T13" s="23" t="n">
        <f aca="false">T11+T12</f>
        <v>12.7148512110471</v>
      </c>
      <c r="U13" s="23" t="n">
        <f aca="false">U11+U12</f>
        <v>13.3127051201523</v>
      </c>
      <c r="V13" s="23" t="n">
        <f aca="false">V11+V12</f>
        <v>13.8950315566488</v>
      </c>
      <c r="W13" s="23" t="n">
        <f aca="false">W11+W12</f>
        <v>14.4637187351478</v>
      </c>
      <c r="X13" s="23" t="n">
        <f aca="false">X11+X12</f>
        <v>15.0205167334275</v>
      </c>
      <c r="Y13" s="23" t="n">
        <f aca="false">Y11+Y12</f>
        <v>15.5670488017867</v>
      </c>
      <c r="Z13" s="23" t="n">
        <f aca="false">Z11+Z12</f>
        <v>16.1048217728178</v>
      </c>
      <c r="AA13" s="23" t="n">
        <f aca="false">AA11+AA12</f>
        <v>16.6352356436699</v>
      </c>
      <c r="AB13" s="23" t="n">
        <f aca="false">AB11+AB12</f>
        <v>17.1595923971073</v>
      </c>
      <c r="AC13" s="23" t="n">
        <f aca="false">AC11+AC12</f>
        <v>17.6791041223684</v>
      </c>
      <c r="AD13" s="23" t="n">
        <f aca="false">AD11+AD12</f>
        <v>18.1949004919492</v>
      </c>
      <c r="AE13" s="23" t="n">
        <f aca="false">AE11+AE12</f>
        <v>18.708035645951</v>
      </c>
      <c r="AF13" s="23" t="n">
        <f aca="false">AF11+AF12</f>
        <v>19.2194945314997</v>
      </c>
      <c r="AG13" s="23" t="n">
        <f aca="false">AG11+AG12</f>
        <v>19.7301987409491</v>
      </c>
      <c r="AH13" s="23" t="n">
        <f aca="false">AH11+AH12</f>
        <v>20.2410118890819</v>
      </c>
      <c r="AI13" s="23" t="n">
        <f aca="false">AI11+AI12</f>
        <v>20.7527445663122</v>
      </c>
      <c r="AJ13" s="23" t="n">
        <f aca="false">AJ11+AJ12</f>
        <v>21.2661589019312</v>
      </c>
      <c r="AK13" s="23" t="n">
        <f aca="false">AK11+AK12</f>
        <v>21.7819727687193</v>
      </c>
      <c r="AL13" s="23" t="n">
        <f aca="false">AL11+AL12</f>
        <v>22.3008636577431</v>
      </c>
      <c r="AM13" s="23" t="n">
        <f aca="false">AM11+AM12</f>
        <v>22.8234722498554</v>
      </c>
      <c r="AN13" s="23" t="n">
        <f aca="false">AN11+AN12</f>
        <v>23.3504057082934</v>
      </c>
      <c r="AO13" s="23" t="n">
        <f aca="false">AO11+AO12</f>
        <v>23.8822407148249</v>
      </c>
      <c r="AP13" s="23" t="n">
        <f aca="false">AP11+AP12</f>
        <v>24.4195262700977</v>
      </c>
      <c r="AQ13" s="23" t="n">
        <f aca="false">AQ11+AQ12</f>
        <v>24.9627862771979</v>
      </c>
      <c r="AR13" s="23" t="n">
        <f aca="false">AR11+AR12</f>
        <v>25.5125219259043</v>
      </c>
      <c r="AS13" s="23" t="n">
        <f aca="false">AS11+AS12</f>
        <v>26.0692138937318</v>
      </c>
      <c r="AT13" s="23" t="n">
        <f aca="false">AT11+AT12</f>
        <v>26.6333243785711</v>
      </c>
      <c r="AU13" s="23" t="n">
        <f aca="false">AU11+AU12</f>
        <v>27.20529897655</v>
      </c>
      <c r="AV13" s="23" t="n">
        <f aca="false">AV11+AV12</f>
        <v>27.7855684176558</v>
      </c>
      <c r="AW13" s="23" t="n">
        <f aca="false">AW11+AW12</f>
        <v>28.3745501706578</v>
      </c>
      <c r="AX13" s="23" t="n">
        <f aca="false">AX11+AX12</f>
        <v>28.972649927948</v>
      </c>
      <c r="AY13" s="23" t="n">
        <f aca="false">AY11+AY12</f>
        <v>29.5802629800737</v>
      </c>
      <c r="AZ13" s="23" t="n">
        <f aca="false">AZ11+AZ12</f>
        <v>30.1977754889567</v>
      </c>
      <c r="BA13" s="23" t="n">
        <f aca="false">BA11+BA12</f>
        <v>30.8255656680748</v>
      </c>
      <c r="BB13" s="23" t="n">
        <f aca="false">BB11+BB12</f>
        <v>31.4640048772281</v>
      </c>
      <c r="BC13" s="23" t="n">
        <f aca="false">BC11+BC12</f>
        <v>32.1134586389012</v>
      </c>
      <c r="BD13" s="23" t="n">
        <f aca="false">BD11+BD12</f>
        <v>32.7742875826774</v>
      </c>
      <c r="BE13" s="23" t="n">
        <f aca="false">BE11+BE12</f>
        <v>33.4468483236493</v>
      </c>
      <c r="BF13" s="23" t="n">
        <f aca="false">BF11+BF12</f>
        <v>34.1314942802952</v>
      </c>
      <c r="BG13" s="23" t="n">
        <f aca="false">BG11+BG12</f>
        <v>34.8285764368601</v>
      </c>
      <c r="BH13" s="23" t="n">
        <f aca="false">BH11+BH12</f>
        <v>35.5384440548797</v>
      </c>
      <c r="BI13" s="23" t="n">
        <f aca="false">BI11+BI12</f>
        <v>36.261445338117</v>
      </c>
      <c r="BJ13" s="23" t="n">
        <f aca="false">BJ11+BJ12</f>
        <v>36.9979280548479</v>
      </c>
      <c r="BK13" s="23" t="n">
        <f aca="false">BK11+BK12</f>
        <v>37.748240121116</v>
      </c>
    </row>
    <row r="14" customFormat="false" ht="15" hidden="false" customHeight="false" outlineLevel="0" collapsed="false">
      <c r="A14" s="13" t="s">
        <v>152</v>
      </c>
      <c r="B14" s="19" t="s">
        <v>144</v>
      </c>
      <c r="C14" s="23" t="n">
        <v>0</v>
      </c>
      <c r="D14" s="23" t="n">
        <f aca="false">D8+D13</f>
        <v>40</v>
      </c>
      <c r="E14" s="23" t="n">
        <f aca="false">E8+E13</f>
        <v>74.8</v>
      </c>
      <c r="F14" s="23" t="n">
        <f aca="false">F8+F13</f>
        <v>105.196</v>
      </c>
      <c r="G14" s="23" t="n">
        <f aca="false">G8+G13</f>
        <v>131.94892</v>
      </c>
      <c r="H14" s="23" t="n">
        <f aca="false">H8+H13</f>
        <v>155.6168284</v>
      </c>
      <c r="I14" s="23" t="n">
        <f aca="false">I8+I13</f>
        <v>176.674853068</v>
      </c>
      <c r="J14" s="23" t="n">
        <f aca="false">J8+J13</f>
        <v>195.52759480636</v>
      </c>
      <c r="K14" s="23" t="n">
        <f aca="false">K8+K13</f>
        <v>212.519681686577</v>
      </c>
      <c r="L14" s="23" t="n">
        <f aca="false">L8+L13</f>
        <v>227.944742904734</v>
      </c>
      <c r="M14" s="23" t="n">
        <f aca="false">M8+M13</f>
        <v>242.053039029703</v>
      </c>
      <c r="N14" s="23" t="n">
        <f aca="false">N8+N13</f>
        <v>255.057950001644</v>
      </c>
      <c r="O14" s="23" t="n">
        <f aca="false">O8+O13</f>
        <v>267.141492049666</v>
      </c>
      <c r="P14" s="23" t="n">
        <f aca="false">P8+P13</f>
        <v>278.459009035966</v>
      </c>
      <c r="Q14" s="23" t="n">
        <f aca="false">Q8+Q13</f>
        <v>289.14316192035</v>
      </c>
      <c r="R14" s="23" t="n">
        <f aca="false">R8+R13</f>
        <v>299.307321496615</v>
      </c>
      <c r="S14" s="23" t="n">
        <f aca="false">S8+S13</f>
        <v>309.048453790289</v>
      </c>
      <c r="T14" s="23" t="n">
        <f aca="false">T8+T13</f>
        <v>318.449574108714</v>
      </c>
      <c r="U14" s="23" t="n">
        <f aca="false">U8+U13</f>
        <v>327.581834344877</v>
      </c>
      <c r="V14" s="23" t="n">
        <f aca="false">V8+V13</f>
        <v>336.506298454607</v>
      </c>
      <c r="W14" s="23" t="n">
        <f aca="false">W8+W13</f>
        <v>345.275452796493</v>
      </c>
      <c r="X14" s="23" t="n">
        <f aca="false">X8+X13</f>
        <v>353.934491027614</v>
      </c>
      <c r="Y14" s="23" t="n">
        <f aca="false">Y8+Y13</f>
        <v>362.522407300729</v>
      </c>
      <c r="Z14" s="23" t="n">
        <f aca="false">Z8+Z13</f>
        <v>371.07292645278</v>
      </c>
      <c r="AA14" s="23" t="n">
        <f aca="false">AA8+AA13</f>
        <v>379.615295576616</v>
      </c>
      <c r="AB14" s="23" t="n">
        <f aca="false">AB8+AB13</f>
        <v>388.174957714189</v>
      </c>
      <c r="AC14" s="23" t="n">
        <f aca="false">AC8+AC13</f>
        <v>396.774125303448</v>
      </c>
      <c r="AD14" s="23" t="n">
        <f aca="false">AD8+AD13</f>
        <v>405.432268370657</v>
      </c>
      <c r="AE14" s="23" t="n">
        <f aca="false">AE8+AE13</f>
        <v>414.166530215139</v>
      </c>
      <c r="AF14" s="23" t="n">
        <f aca="false">AF8+AF13</f>
        <v>422.992081425042</v>
      </c>
      <c r="AG14" s="23" t="n">
        <f aca="false">AG8+AG13</f>
        <v>431.922421440387</v>
      </c>
      <c r="AH14" s="23" t="n">
        <f aca="false">AH8+AH13</f>
        <v>440.96963550033</v>
      </c>
      <c r="AI14" s="23" t="n">
        <f aca="false">AI8+AI13</f>
        <v>450.144613638933</v>
      </c>
      <c r="AJ14" s="23" t="n">
        <f aca="false">AJ8+AJ13</f>
        <v>459.45723739678</v>
      </c>
      <c r="AK14" s="23" t="n">
        <f aca="false">AK8+AK13</f>
        <v>468.916539068124</v>
      </c>
      <c r="AL14" s="23" t="n">
        <f aca="false">AL8+AL13</f>
        <v>478.530837582597</v>
      </c>
      <c r="AM14" s="23" t="n">
        <f aca="false">AM8+AM13</f>
        <v>488.307854507747</v>
      </c>
      <c r="AN14" s="23" t="n">
        <f aca="false">AN8+AN13</f>
        <v>498.254813137703</v>
      </c>
      <c r="AO14" s="23" t="n">
        <f aca="false">AO8+AO13</f>
        <v>508.378523190229</v>
      </c>
      <c r="AP14" s="23" t="n">
        <f aca="false">AP8+AP13</f>
        <v>518.685453257805</v>
      </c>
      <c r="AQ14" s="23" t="n">
        <f aca="false">AQ8+AQ13</f>
        <v>529.181792838036</v>
      </c>
      <c r="AR14" s="23" t="n">
        <f aca="false">AR8+AR13</f>
        <v>539.873505496328</v>
      </c>
      <c r="AS14" s="23" t="n">
        <f aca="false">AS8+AS13</f>
        <v>550.766374482178</v>
      </c>
      <c r="AT14" s="23" t="n">
        <f aca="false">AT8+AT13</f>
        <v>561.866041923409</v>
      </c>
      <c r="AU14" s="23" t="n">
        <f aca="false">AU8+AU13</f>
        <v>573.178042555213</v>
      </c>
      <c r="AV14" s="23" t="n">
        <f aca="false">AV8+AV13</f>
        <v>584.707832798381</v>
      </c>
      <c r="AW14" s="23" t="n">
        <f aca="false">AW8+AW13</f>
        <v>596.460815879914</v>
      </c>
      <c r="AX14" s="23" t="n">
        <f aca="false">AX8+AX13</f>
        <v>608.442363586168</v>
      </c>
      <c r="AY14" s="23" t="n">
        <f aca="false">AY8+AY13</f>
        <v>620.65783515102</v>
      </c>
      <c r="AZ14" s="23" t="n">
        <f aca="false">AZ8+AZ13</f>
        <v>633.112593706949</v>
      </c>
      <c r="BA14" s="23" t="n">
        <f aca="false">BA8+BA13</f>
        <v>645.81202066351</v>
      </c>
      <c r="BB14" s="23" t="n">
        <f aca="false">BB8+BB13</f>
        <v>658.761528323693</v>
      </c>
      <c r="BC14" s="23" t="n">
        <f aca="false">BC8+BC13</f>
        <v>671.966571002748</v>
      </c>
      <c r="BD14" s="23" t="n">
        <f aca="false">BD8+BD13</f>
        <v>685.432654874986</v>
      </c>
      <c r="BE14" s="23" t="n">
        <f aca="false">BE8+BE13</f>
        <v>699.165346740812</v>
      </c>
      <c r="BF14" s="23" t="n">
        <f aca="false">BF8+BF13</f>
        <v>713.170281877957</v>
      </c>
      <c r="BG14" s="23" t="n">
        <f aca="false">BG8+BG13</f>
        <v>727.453171116808</v>
      </c>
      <c r="BH14" s="23" t="n">
        <f aca="false">BH8+BH13</f>
        <v>742.019807259209</v>
      </c>
      <c r="BI14" s="23" t="n">
        <f aca="false">BI8+BI13</f>
        <v>756.876070942698</v>
      </c>
      <c r="BJ14" s="23" t="n">
        <f aca="false">BJ8+BJ13</f>
        <v>772.027936037261</v>
      </c>
      <c r="BK14" s="23" t="n">
        <f aca="false">BK8+BK13</f>
        <v>787.481474649057</v>
      </c>
    </row>
    <row r="16" customFormat="false" ht="15" hidden="false" customHeight="false" outlineLevel="0" collapsed="false">
      <c r="A16" s="12" t="s">
        <v>153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</row>
    <row r="17" customFormat="false" ht="15" hidden="false" customHeight="false" outlineLevel="0" collapsed="false">
      <c r="A17" s="9" t="s">
        <v>154</v>
      </c>
      <c r="B17" s="19" t="s">
        <v>155</v>
      </c>
      <c r="C17" s="22" t="n">
        <v>0</v>
      </c>
      <c r="D17" s="22" t="n">
        <f aca="false">D11*Premissas!$B$5</f>
        <v>0</v>
      </c>
      <c r="E17" s="22" t="n">
        <f aca="false">E11*Premissas!$B$5</f>
        <v>0</v>
      </c>
      <c r="F17" s="22" t="n">
        <f aca="false">F11*Premissas!$B$5</f>
        <v>214.92</v>
      </c>
      <c r="G17" s="22" t="n">
        <f aca="false">G11*Premissas!$B$5</f>
        <v>416.9448</v>
      </c>
      <c r="H17" s="22" t="n">
        <f aca="false">H11*Premissas!$B$5</f>
        <v>607.191984</v>
      </c>
      <c r="I17" s="22" t="n">
        <f aca="false">I11*Premissas!$B$5</f>
        <v>786.69144864</v>
      </c>
      <c r="J17" s="22" t="n">
        <f aca="false">J11*Premissas!$B$5</f>
        <v>956.392452576</v>
      </c>
      <c r="K17" s="22" t="n">
        <f aca="false">K11*Premissas!$B$5</f>
        <v>1117.17010259366</v>
      </c>
      <c r="L17" s="22" t="n">
        <f aca="false">L11*Premissas!$B$5</f>
        <v>1269.83132153439</v>
      </c>
      <c r="M17" s="22" t="n">
        <f aca="false">M11*Premissas!$B$5</f>
        <v>1415.12033950282</v>
      </c>
      <c r="N17" s="22" t="n">
        <f aca="false">N11*Premissas!$B$5</f>
        <v>1553.7237465076</v>
      </c>
      <c r="O17" s="22" t="n">
        <f aca="false">O11*Premissas!$B$5</f>
        <v>1686.2751416353</v>
      </c>
      <c r="P17" s="22" t="n">
        <f aca="false">P11*Premissas!$B$5</f>
        <v>1813.35941104975</v>
      </c>
      <c r="Q17" s="22" t="n">
        <f aca="false">Q11*Premissas!$B$5</f>
        <v>1935.51666452595</v>
      </c>
      <c r="R17" s="22" t="n">
        <f aca="false">R11*Premissas!$B$5</f>
        <v>2053.24585785126</v>
      </c>
      <c r="S17" s="22" t="n">
        <f aca="false">S11*Premissas!$B$5</f>
        <v>2167.00812624029</v>
      </c>
      <c r="T17" s="22" t="n">
        <f aca="false">T11*Premissas!$B$5</f>
        <v>2277.22985189854</v>
      </c>
      <c r="U17" s="22" t="n">
        <f aca="false">U11*Premissas!$B$5</f>
        <v>2384.30548701927</v>
      </c>
      <c r="V17" s="22" t="n">
        <f aca="false">V11*Premissas!$B$5</f>
        <v>2488.60015179581</v>
      </c>
      <c r="W17" s="22" t="n">
        <f aca="false">W11*Premissas!$B$5</f>
        <v>2590.45202546498</v>
      </c>
      <c r="X17" s="22" t="n">
        <f aca="false">X11*Premissas!$B$5</f>
        <v>2690.17454695687</v>
      </c>
      <c r="Y17" s="22" t="n">
        <f aca="false">Y11*Premissas!$B$5</f>
        <v>2788.0584404</v>
      </c>
      <c r="Z17" s="22" t="n">
        <f aca="false">Z11*Premissas!$B$5</f>
        <v>2884.37357951167</v>
      </c>
      <c r="AA17" s="22" t="n">
        <f aca="false">AA11*Premissas!$B$5</f>
        <v>2979.37070378127</v>
      </c>
      <c r="AB17" s="22" t="n">
        <f aca="false">AB11*Premissas!$B$5</f>
        <v>3073.28299832192</v>
      </c>
      <c r="AC17" s="22" t="n">
        <f aca="false">AC11*Premissas!$B$5</f>
        <v>3166.32754831619</v>
      </c>
      <c r="AD17" s="22" t="n">
        <f aca="false">AD11*Premissas!$B$5</f>
        <v>3258.70667810811</v>
      </c>
      <c r="AE17" s="22" t="n">
        <f aca="false">AE11*Premissas!$B$5</f>
        <v>3350.60918418982</v>
      </c>
      <c r="AF17" s="22" t="n">
        <f aca="false">AF11*Premissas!$B$5</f>
        <v>3442.2114705916</v>
      </c>
      <c r="AG17" s="22" t="n">
        <f aca="false">AG11*Premissas!$B$5</f>
        <v>3533.67859450398</v>
      </c>
      <c r="AH17" s="22" t="n">
        <f aca="false">AH11*Premissas!$B$5</f>
        <v>3625.16522933456</v>
      </c>
      <c r="AI17" s="22" t="n">
        <f aca="false">AI11*Premissas!$B$5</f>
        <v>3716.81655182651</v>
      </c>
      <c r="AJ17" s="22" t="n">
        <f aca="false">AJ11*Premissas!$B$5</f>
        <v>3808.76905933589</v>
      </c>
      <c r="AK17" s="22" t="n">
        <f aca="false">AK11*Premissas!$B$5</f>
        <v>3901.15132287762</v>
      </c>
      <c r="AL17" s="22" t="n">
        <f aca="false">AL11*Premissas!$B$5</f>
        <v>3994.08468110178</v>
      </c>
      <c r="AM17" s="22" t="n">
        <f aca="false">AM11*Premissas!$B$5</f>
        <v>4087.6838799491</v>
      </c>
      <c r="AN17" s="22" t="n">
        <f aca="false">AN11*Premissas!$B$5</f>
        <v>4182.05766235535</v>
      </c>
      <c r="AO17" s="22" t="n">
        <f aca="false">AO11*Premissas!$B$5</f>
        <v>4277.30931202514</v>
      </c>
      <c r="AP17" s="22" t="n">
        <f aca="false">AP11*Premissas!$B$5</f>
        <v>4373.5371549745</v>
      </c>
      <c r="AQ17" s="22" t="n">
        <f aca="false">AQ11*Premissas!$B$5</f>
        <v>4470.83502224615</v>
      </c>
      <c r="AR17" s="22" t="n">
        <f aca="false">AR11*Premissas!$B$5</f>
        <v>4569.29267692946</v>
      </c>
      <c r="AS17" s="22" t="n">
        <f aca="false">AS11*Premissas!$B$5</f>
        <v>4668.99620836736</v>
      </c>
      <c r="AT17" s="22" t="n">
        <f aca="false">AT11*Premissas!$B$5</f>
        <v>4770.02839620208</v>
      </c>
      <c r="AU17" s="22" t="n">
        <f aca="false">AU11*Premissas!$B$5</f>
        <v>4872.4690467001</v>
      </c>
      <c r="AV17" s="22" t="n">
        <f aca="false">AV11*Premissas!$B$5</f>
        <v>4976.39530360216</v>
      </c>
      <c r="AW17" s="22" t="n">
        <f aca="false">AW11*Premissas!$B$5</f>
        <v>5081.88193556482</v>
      </c>
      <c r="AX17" s="22" t="n">
        <f aca="false">AX11*Premissas!$B$5</f>
        <v>5189.00160209548</v>
      </c>
      <c r="AY17" s="22" t="n">
        <f aca="false">AY11*Premissas!$B$5</f>
        <v>5297.82509973121</v>
      </c>
      <c r="AZ17" s="22" t="n">
        <f aca="false">AZ11*Premissas!$B$5</f>
        <v>5408.42159007214</v>
      </c>
      <c r="BA17" s="22" t="n">
        <f aca="false">BA11*Premissas!$B$5</f>
        <v>5520.85881115219</v>
      </c>
      <c r="BB17" s="22" t="n">
        <f aca="false">BB11*Premissas!$B$5</f>
        <v>5635.20327351156</v>
      </c>
      <c r="BC17" s="22" t="n">
        <f aca="false">BC11*Premissas!$B$5</f>
        <v>5751.5204422272</v>
      </c>
      <c r="BD17" s="22" t="n">
        <f aca="false">BD11*Premissas!$B$5</f>
        <v>5869.87490605752</v>
      </c>
      <c r="BE17" s="22" t="n">
        <f aca="false">BE11*Premissas!$B$5</f>
        <v>5990.33053476559</v>
      </c>
      <c r="BF17" s="22" t="n">
        <f aca="false">BF11*Premissas!$B$5</f>
        <v>6112.95062560087</v>
      </c>
      <c r="BG17" s="22" t="n">
        <f aca="false">BG11*Premissas!$B$5</f>
        <v>6237.79803984165</v>
      </c>
      <c r="BH17" s="22" t="n">
        <f aca="false">BH11*Premissas!$B$5</f>
        <v>6364.93533022895</v>
      </c>
      <c r="BI17" s="22" t="n">
        <f aca="false">BI11*Premissas!$B$5</f>
        <v>6494.42486005676</v>
      </c>
      <c r="BJ17" s="22" t="n">
        <f aca="false">BJ11*Premissas!$B$5</f>
        <v>6626.32891462326</v>
      </c>
      <c r="BK17" s="22" t="n">
        <f aca="false">BK11*Premissas!$B$5</f>
        <v>6760.70980569187</v>
      </c>
    </row>
    <row r="18" customFormat="false" ht="15" hidden="false" customHeight="false" outlineLevel="0" collapsed="false">
      <c r="A18" s="9" t="s">
        <v>156</v>
      </c>
      <c r="B18" s="19" t="s">
        <v>155</v>
      </c>
      <c r="C18" s="22" t="n">
        <v>0</v>
      </c>
      <c r="D18" s="22" t="n">
        <f aca="false">D12*Premissas!$B$6</f>
        <v>0</v>
      </c>
      <c r="E18" s="22" t="n">
        <f aca="false">E12*Premissas!$B$6</f>
        <v>0</v>
      </c>
      <c r="F18" s="22" t="n">
        <f aca="false">F12*Premissas!$B$6</f>
        <v>47.88</v>
      </c>
      <c r="G18" s="22" t="n">
        <f aca="false">G12*Premissas!$B$6</f>
        <v>92.8872</v>
      </c>
      <c r="H18" s="22" t="n">
        <f aca="false">H12*Premissas!$B$6</f>
        <v>135.270576</v>
      </c>
      <c r="I18" s="22" t="n">
        <f aca="false">I12*Premissas!$B$6</f>
        <v>175.25956896</v>
      </c>
      <c r="J18" s="22" t="n">
        <f aca="false">J12*Premissas!$B$6</f>
        <v>213.065655264</v>
      </c>
      <c r="K18" s="22" t="n">
        <f aca="false">K12*Premissas!$B$6</f>
        <v>248.883791700096</v>
      </c>
      <c r="L18" s="22" t="n">
        <f aca="false">L12*Premissas!$B$6</f>
        <v>282.893744998449</v>
      </c>
      <c r="M18" s="22" t="n">
        <f aca="false">M12*Premissas!$B$6</f>
        <v>315.26131516562</v>
      </c>
      <c r="N18" s="22" t="n">
        <f aca="false">N12*Premissas!$B$6</f>
        <v>346.139461114759</v>
      </c>
      <c r="O18" s="22" t="n">
        <f aca="false">O12*Premissas!$B$6</f>
        <v>375.669336411215</v>
      </c>
      <c r="P18" s="22" t="n">
        <f aca="false">P12*Premissas!$B$6</f>
        <v>403.981242327666</v>
      </c>
      <c r="Q18" s="22" t="n">
        <f aca="false">Q12*Premissas!$B$6</f>
        <v>431.195504827389</v>
      </c>
      <c r="R18" s="22" t="n">
        <f aca="false">R12*Premissas!$B$6</f>
        <v>457.423281564853</v>
      </c>
      <c r="S18" s="22" t="n">
        <f aca="false">S12*Premissas!$B$6</f>
        <v>482.767304505792</v>
      </c>
      <c r="T18" s="22" t="n">
        <f aca="false">T12*Premissas!$B$6</f>
        <v>507.322563320779</v>
      </c>
      <c r="U18" s="22" t="n">
        <f aca="false">U12*Premissas!$B$6</f>
        <v>531.176934294076</v>
      </c>
      <c r="V18" s="22" t="n">
        <f aca="false">V12*Premissas!$B$6</f>
        <v>554.411759110289</v>
      </c>
      <c r="W18" s="22" t="n">
        <f aca="false">W12*Premissas!$B$6</f>
        <v>577.102377532399</v>
      </c>
      <c r="X18" s="22" t="n">
        <f aca="false">X12*Premissas!$B$6</f>
        <v>599.318617663759</v>
      </c>
      <c r="Y18" s="22" t="n">
        <f aca="false">Y12*Premissas!$B$6</f>
        <v>621.125247191289</v>
      </c>
      <c r="Z18" s="22" t="n">
        <f aca="false">Z12*Premissas!$B$6</f>
        <v>642.58238873543</v>
      </c>
      <c r="AA18" s="22" t="n">
        <f aca="false">AA12*Premissas!$B$6</f>
        <v>663.745902182428</v>
      </c>
      <c r="AB18" s="22" t="n">
        <f aca="false">AB12*Premissas!$B$6</f>
        <v>684.667736644583</v>
      </c>
      <c r="AC18" s="22" t="n">
        <f aca="false">AC12*Premissas!$B$6</f>
        <v>705.3962544825</v>
      </c>
      <c r="AD18" s="22" t="n">
        <f aca="false">AD12*Premissas!$B$6</f>
        <v>725.976529628774</v>
      </c>
      <c r="AE18" s="22" t="n">
        <f aca="false">AE12*Premissas!$B$6</f>
        <v>746.450622273443</v>
      </c>
      <c r="AF18" s="22" t="n">
        <f aca="false">AF12*Premissas!$B$6</f>
        <v>766.857831806839</v>
      </c>
      <c r="AG18" s="22" t="n">
        <f aca="false">AG12*Premissas!$B$6</f>
        <v>787.234929763868</v>
      </c>
      <c r="AH18" s="22" t="n">
        <f aca="false">AH12*Premissas!$B$6</f>
        <v>807.616374374366</v>
      </c>
      <c r="AI18" s="22" t="n">
        <f aca="false">AI12*Premissas!$B$6</f>
        <v>828.034508195856</v>
      </c>
      <c r="AJ18" s="22" t="n">
        <f aca="false">AJ12*Premissas!$B$6</f>
        <v>848.519740187056</v>
      </c>
      <c r="AK18" s="22" t="n">
        <f aca="false">AK12*Premissas!$B$6</f>
        <v>869.100713471898</v>
      </c>
      <c r="AL18" s="22" t="n">
        <f aca="false">AL12*Premissas!$B$6</f>
        <v>889.804459943948</v>
      </c>
      <c r="AM18" s="22" t="n">
        <f aca="false">AM12*Premissas!$B$6</f>
        <v>910.656542769231</v>
      </c>
      <c r="AN18" s="22" t="n">
        <f aca="false">AN12*Premissas!$B$6</f>
        <v>931.681187760906</v>
      </c>
      <c r="AO18" s="22" t="n">
        <f aca="false">AO12*Premissas!$B$6</f>
        <v>952.901404521512</v>
      </c>
      <c r="AP18" s="22" t="n">
        <f aca="false">AP12*Premissas!$B$6</f>
        <v>974.339098176899</v>
      </c>
      <c r="AQ18" s="22" t="n">
        <f aca="false">AQ12*Premissas!$B$6</f>
        <v>996.015172460197</v>
      </c>
      <c r="AR18" s="22" t="n">
        <f aca="false">AR12*Premissas!$B$6</f>
        <v>1017.94962484358</v>
      </c>
      <c r="AS18" s="22" t="n">
        <f aca="false">AS12*Premissas!$B$6</f>
        <v>1040.1616343599</v>
      </c>
      <c r="AT18" s="22" t="n">
        <f aca="false">AT12*Premissas!$B$6</f>
        <v>1062.66964270499</v>
      </c>
      <c r="AU18" s="22" t="n">
        <f aca="false">AU12*Premissas!$B$6</f>
        <v>1085.49142916434</v>
      </c>
      <c r="AV18" s="22" t="n">
        <f aca="false">AV12*Premissas!$B$6</f>
        <v>1108.64417986447</v>
      </c>
      <c r="AW18" s="22" t="n">
        <f aca="false">AW12*Premissas!$B$6</f>
        <v>1132.14455180925</v>
      </c>
      <c r="AX18" s="22" t="n">
        <f aca="false">AX12*Premissas!$B$6</f>
        <v>1156.00873212512</v>
      </c>
      <c r="AY18" s="22" t="n">
        <f aca="false">AY12*Premissas!$B$6</f>
        <v>1180.25249290494</v>
      </c>
      <c r="AZ18" s="22" t="n">
        <f aca="false">AZ12*Premissas!$B$6</f>
        <v>1204.89124200937</v>
      </c>
      <c r="BA18" s="22" t="n">
        <f aca="false">BA12*Premissas!$B$6</f>
        <v>1229.94007015618</v>
      </c>
      <c r="BB18" s="22" t="n">
        <f aca="false">BB12*Premissas!$B$6</f>
        <v>1255.4137946014</v>
      </c>
      <c r="BC18" s="22" t="n">
        <f aca="false">BC12*Premissas!$B$6</f>
        <v>1281.32699969216</v>
      </c>
      <c r="BD18" s="22" t="n">
        <f aca="false">BD12*Premissas!$B$6</f>
        <v>1307.69407454883</v>
      </c>
      <c r="BE18" s="22" t="n">
        <f aca="false">BE12*Premissas!$B$6</f>
        <v>1334.52924811361</v>
      </c>
      <c r="BF18" s="22" t="n">
        <f aca="false">BF12*Premissas!$B$6</f>
        <v>1361.84662178378</v>
      </c>
      <c r="BG18" s="22" t="n">
        <f aca="false">BG12*Premissas!$B$6</f>
        <v>1389.66019983072</v>
      </c>
      <c r="BH18" s="22" t="n">
        <f aca="false">BH12*Premissas!$B$6</f>
        <v>1417.9839177897</v>
      </c>
      <c r="BI18" s="22" t="n">
        <f aca="false">BI12*Premissas!$B$6</f>
        <v>1446.83166899087</v>
      </c>
      <c r="BJ18" s="22" t="n">
        <f aca="false">BJ12*Premissas!$B$6</f>
        <v>1476.21732938843</v>
      </c>
      <c r="BK18" s="22" t="n">
        <f aca="false">BK12*Premissas!$B$6</f>
        <v>1506.15478083253</v>
      </c>
    </row>
    <row r="19" customFormat="false" ht="15" hidden="false" customHeight="false" outlineLevel="0" collapsed="false">
      <c r="A19" s="9" t="s">
        <v>157</v>
      </c>
      <c r="B19" s="19" t="s">
        <v>158</v>
      </c>
      <c r="C19" s="24" t="n">
        <v>0</v>
      </c>
      <c r="D19" s="24" t="n">
        <f aca="false">D13*Premissas!$B$18</f>
        <v>0</v>
      </c>
      <c r="E19" s="24" t="n">
        <f aca="false">E13*Premissas!$B$18</f>
        <v>0</v>
      </c>
      <c r="F19" s="24" t="n">
        <f aca="false">F13*Premissas!$B$18</f>
        <v>3</v>
      </c>
      <c r="G19" s="24" t="n">
        <f aca="false">G13*Premissas!$B$18</f>
        <v>5.82</v>
      </c>
      <c r="H19" s="24" t="n">
        <f aca="false">H13*Premissas!$B$18</f>
        <v>8.4756</v>
      </c>
      <c r="I19" s="24" t="n">
        <f aca="false">I13*Premissas!$B$18</f>
        <v>10.981176</v>
      </c>
      <c r="J19" s="24" t="n">
        <f aca="false">J13*Premissas!$B$18</f>
        <v>13.3499784</v>
      </c>
      <c r="K19" s="24" t="n">
        <f aca="false">K13*Premissas!$B$18</f>
        <v>15.5942225376</v>
      </c>
      <c r="L19" s="24" t="n">
        <f aca="false">L13*Premissas!$B$18</f>
        <v>17.725171992384</v>
      </c>
      <c r="M19" s="24" t="n">
        <f aca="false">M13*Premissas!$B$18</f>
        <v>19.7532152359411</v>
      </c>
      <c r="N19" s="24" t="n">
        <f aca="false">N13*Premissas!$B$18</f>
        <v>21.6879361600726</v>
      </c>
      <c r="O19" s="24" t="n">
        <f aca="false">O13*Premissas!$B$18</f>
        <v>23.5381789731338</v>
      </c>
      <c r="P19" s="24" t="n">
        <f aca="false">P13*Premissas!$B$18</f>
        <v>25.3121079152673</v>
      </c>
      <c r="Q19" s="24" t="n">
        <f aca="false">Q13*Premissas!$B$18</f>
        <v>27.0172622072299</v>
      </c>
      <c r="R19" s="24" t="n">
        <f aca="false">R13*Premissas!$B$18</f>
        <v>28.6606066143391</v>
      </c>
      <c r="S19" s="24" t="n">
        <f aca="false">S13*Premissas!$B$18</f>
        <v>30.2485779765534</v>
      </c>
      <c r="T19" s="24" t="n">
        <f aca="false">T13*Premissas!$B$18</f>
        <v>31.7871280276177</v>
      </c>
      <c r="U19" s="24" t="n">
        <f aca="false">U13*Premissas!$B$18</f>
        <v>33.2817628003807</v>
      </c>
      <c r="V19" s="24" t="n">
        <f aca="false">V13*Premissas!$B$18</f>
        <v>34.7375788916221</v>
      </c>
      <c r="W19" s="24" t="n">
        <f aca="false">W13*Premissas!$B$18</f>
        <v>36.1592968378696</v>
      </c>
      <c r="X19" s="24" t="n">
        <f aca="false">X13*Premissas!$B$18</f>
        <v>37.5512918335689</v>
      </c>
      <c r="Y19" s="24" t="n">
        <f aca="false">Y13*Premissas!$B$18</f>
        <v>38.9176220044667</v>
      </c>
      <c r="Z19" s="24" t="n">
        <f aca="false">Z13*Premissas!$B$18</f>
        <v>40.2620544320445</v>
      </c>
      <c r="AA19" s="24" t="n">
        <f aca="false">AA13*Premissas!$B$18</f>
        <v>41.5880891091747</v>
      </c>
      <c r="AB19" s="24" t="n">
        <f aca="false">AB13*Premissas!$B$18</f>
        <v>42.8989809927683</v>
      </c>
      <c r="AC19" s="24" t="n">
        <f aca="false">AC13*Premissas!$B$18</f>
        <v>44.1977603059211</v>
      </c>
      <c r="AD19" s="24" t="n">
        <f aca="false">AD13*Premissas!$B$18</f>
        <v>45.4872512298731</v>
      </c>
      <c r="AE19" s="24" t="n">
        <f aca="false">AE13*Premissas!$B$18</f>
        <v>46.7700891148774</v>
      </c>
      <c r="AF19" s="24" t="n">
        <f aca="false">AF13*Premissas!$B$18</f>
        <v>48.0487363287493</v>
      </c>
      <c r="AG19" s="24" t="n">
        <f aca="false">AG13*Premissas!$B$18</f>
        <v>49.3254968523727</v>
      </c>
      <c r="AH19" s="24" t="n">
        <f aca="false">AH13*Premissas!$B$18</f>
        <v>50.6025297227046</v>
      </c>
      <c r="AI19" s="24" t="n">
        <f aca="false">AI13*Premissas!$B$18</f>
        <v>51.8818614157805</v>
      </c>
      <c r="AJ19" s="24" t="n">
        <f aca="false">AJ13*Premissas!$B$18</f>
        <v>53.1653972548281</v>
      </c>
      <c r="AK19" s="24" t="n">
        <f aca="false">AK13*Premissas!$B$18</f>
        <v>54.4549319217981</v>
      </c>
      <c r="AL19" s="24" t="n">
        <f aca="false">AL13*Premissas!$B$18</f>
        <v>55.7521591443577</v>
      </c>
      <c r="AM19" s="24" t="n">
        <f aca="false">AM13*Premissas!$B$18</f>
        <v>57.0586806246385</v>
      </c>
      <c r="AN19" s="24" t="n">
        <f aca="false">AN13*Premissas!$B$18</f>
        <v>58.3760142707335</v>
      </c>
      <c r="AO19" s="24" t="n">
        <f aca="false">AO13*Premissas!$B$18</f>
        <v>59.7056017870622</v>
      </c>
      <c r="AP19" s="24" t="n">
        <f aca="false">AP13*Premissas!$B$18</f>
        <v>61.0488156752443</v>
      </c>
      <c r="AQ19" s="24" t="n">
        <f aca="false">AQ13*Premissas!$B$18</f>
        <v>62.4069656929948</v>
      </c>
      <c r="AR19" s="24" t="n">
        <f aca="false">AR13*Premissas!$B$18</f>
        <v>63.7813048147607</v>
      </c>
      <c r="AS19" s="24" t="n">
        <f aca="false">AS13*Premissas!$B$18</f>
        <v>65.1730347343294</v>
      </c>
      <c r="AT19" s="24" t="n">
        <f aca="false">AT13*Premissas!$B$18</f>
        <v>66.5833109464276</v>
      </c>
      <c r="AU19" s="24" t="n">
        <f aca="false">AU13*Premissas!$B$18</f>
        <v>68.0132474413749</v>
      </c>
      <c r="AV19" s="24" t="n">
        <f aca="false">AV13*Premissas!$B$18</f>
        <v>69.4639210441396</v>
      </c>
      <c r="AW19" s="24" t="n">
        <f aca="false">AW13*Premissas!$B$18</f>
        <v>70.9363754266446</v>
      </c>
      <c r="AX19" s="24" t="n">
        <f aca="false">AX13*Premissas!$B$18</f>
        <v>72.4316248198699</v>
      </c>
      <c r="AY19" s="24" t="n">
        <f aca="false">AY13*Premissas!$B$18</f>
        <v>73.9506574501844</v>
      </c>
      <c r="AZ19" s="24" t="n">
        <f aca="false">AZ13*Premissas!$B$18</f>
        <v>75.4944387223917</v>
      </c>
      <c r="BA19" s="24" t="n">
        <f aca="false">BA13*Premissas!$B$18</f>
        <v>77.063914170187</v>
      </c>
      <c r="BB19" s="24" t="n">
        <f aca="false">BB13*Premissas!$B$18</f>
        <v>78.6600121930703</v>
      </c>
      <c r="BC19" s="24" t="n">
        <f aca="false">BC13*Premissas!$B$18</f>
        <v>80.2836465972529</v>
      </c>
      <c r="BD19" s="24" t="n">
        <f aca="false">BD13*Premissas!$B$18</f>
        <v>81.9357189566935</v>
      </c>
      <c r="BE19" s="24" t="n">
        <f aca="false">BE13*Premissas!$B$18</f>
        <v>83.6171208091233</v>
      </c>
      <c r="BF19" s="24" t="n">
        <f aca="false">BF13*Premissas!$B$18</f>
        <v>85.328735700738</v>
      </c>
      <c r="BG19" s="24" t="n">
        <f aca="false">BG13*Premissas!$B$18</f>
        <v>87.0714410921504</v>
      </c>
      <c r="BH19" s="24" t="n">
        <f aca="false">BH13*Premissas!$B$18</f>
        <v>88.8461101371992</v>
      </c>
      <c r="BI19" s="24" t="n">
        <f aca="false">BI13*Premissas!$B$18</f>
        <v>90.6536133452925</v>
      </c>
      <c r="BJ19" s="24" t="n">
        <f aca="false">BJ13*Premissas!$B$18</f>
        <v>92.4948201371198</v>
      </c>
      <c r="BK19" s="24" t="n">
        <f aca="false">BK13*Premissas!$B$18</f>
        <v>94.3706003027899</v>
      </c>
    </row>
    <row r="20" customFormat="false" ht="15" hidden="false" customHeight="false" outlineLevel="0" collapsed="false">
      <c r="A20" s="9" t="s">
        <v>159</v>
      </c>
      <c r="B20" s="19" t="s">
        <v>158</v>
      </c>
      <c r="C20" s="24" t="n">
        <v>0</v>
      </c>
      <c r="D20" s="24" t="n">
        <f aca="false">D8*Premissas!$B$19</f>
        <v>12</v>
      </c>
      <c r="E20" s="24" t="n">
        <f aca="false">E8*Premissas!$B$19</f>
        <v>22.44</v>
      </c>
      <c r="F20" s="24" t="n">
        <f aca="false">F8*Premissas!$B$19</f>
        <v>31.1988</v>
      </c>
      <c r="G20" s="24" t="n">
        <f aca="false">G8*Premissas!$B$19</f>
        <v>38.886276</v>
      </c>
      <c r="H20" s="24" t="n">
        <f aca="false">H8*Premissas!$B$19</f>
        <v>45.66797652</v>
      </c>
      <c r="I20" s="24" t="n">
        <f aca="false">I8*Premissas!$B$19</f>
        <v>51.6847148004</v>
      </c>
      <c r="J20" s="24" t="n">
        <f aca="false">J8*Premissas!$B$19</f>
        <v>57.056281033908</v>
      </c>
      <c r="K20" s="24" t="n">
        <f aca="false">K8*Premissas!$B$19</f>
        <v>61.8845978014612</v>
      </c>
      <c r="L20" s="24" t="n">
        <f aca="false">L8*Premissas!$B$19</f>
        <v>66.2564022323341</v>
      </c>
      <c r="M20" s="24" t="n">
        <f aca="false">M8*Premissas!$B$19</f>
        <v>70.245525880598</v>
      </c>
      <c r="N20" s="24" t="n">
        <f aca="false">N8*Premissas!$B$19</f>
        <v>73.9148326612846</v>
      </c>
      <c r="O20" s="24" t="n">
        <f aca="false">O8*Premissas!$B$19</f>
        <v>77.3178661381237</v>
      </c>
      <c r="P20" s="24" t="n">
        <f aca="false">P8*Premissas!$B$19</f>
        <v>80.5002497609576</v>
      </c>
      <c r="Q20" s="24" t="n">
        <f aca="false">Q8*Premissas!$B$19</f>
        <v>83.5008771112374</v>
      </c>
      <c r="R20" s="24" t="n">
        <f aca="false">R8*Premissas!$B$19</f>
        <v>86.3529236552638</v>
      </c>
      <c r="S20" s="24" t="n">
        <f aca="false">S8*Premissas!$B$19</f>
        <v>89.0847067799004</v>
      </c>
      <c r="T20" s="24" t="n">
        <f aca="false">T8*Premissas!$B$19</f>
        <v>91.7204168693</v>
      </c>
      <c r="U20" s="24" t="n">
        <f aca="false">U8*Premissas!$B$19</f>
        <v>94.2807387674174</v>
      </c>
      <c r="V20" s="24" t="n">
        <f aca="false">V8*Premissas!$B$19</f>
        <v>96.7833800693875</v>
      </c>
      <c r="W20" s="24" t="n">
        <f aca="false">W8*Premissas!$B$19</f>
        <v>99.2435202184037</v>
      </c>
      <c r="X20" s="24" t="n">
        <f aca="false">X8*Premissas!$B$19</f>
        <v>101.674192288256</v>
      </c>
      <c r="Y20" s="24" t="n">
        <f aca="false">Y8*Premissas!$B$19</f>
        <v>104.086607549683</v>
      </c>
      <c r="Z20" s="24" t="n">
        <f aca="false">Z8*Premissas!$B$19</f>
        <v>106.490431403989</v>
      </c>
      <c r="AA20" s="24" t="n">
        <f aca="false">AA8*Premissas!$B$19</f>
        <v>108.894017979884</v>
      </c>
      <c r="AB20" s="24" t="n">
        <f aca="false">AB8*Premissas!$B$19</f>
        <v>111.304609595125</v>
      </c>
      <c r="AC20" s="24" t="n">
        <f aca="false">AC8*Premissas!$B$19</f>
        <v>113.728506354324</v>
      </c>
      <c r="AD20" s="24" t="n">
        <f aca="false">AD8*Premissas!$B$19</f>
        <v>116.171210363612</v>
      </c>
      <c r="AE20" s="24" t="n">
        <f aca="false">AE8*Premissas!$B$19</f>
        <v>118.637548370757</v>
      </c>
      <c r="AF20" s="24" t="n">
        <f aca="false">AF8*Premissas!$B$19</f>
        <v>121.131776068063</v>
      </c>
      <c r="AG20" s="24" t="n">
        <f aca="false">AG8*Premissas!$B$19</f>
        <v>123.657666809831</v>
      </c>
      <c r="AH20" s="24" t="n">
        <f aca="false">AH8*Premissas!$B$19</f>
        <v>126.218587083374</v>
      </c>
      <c r="AI20" s="24" t="n">
        <f aca="false">AI8*Premissas!$B$19</f>
        <v>128.817560721786</v>
      </c>
      <c r="AJ20" s="24" t="n">
        <f aca="false">AJ8*Premissas!$B$19</f>
        <v>131.457323548455</v>
      </c>
      <c r="AK20" s="24" t="n">
        <f aca="false">AK8*Premissas!$B$19</f>
        <v>134.140369889822</v>
      </c>
      <c r="AL20" s="24" t="n">
        <f aca="false">AL8*Premissas!$B$19</f>
        <v>136.868992177456</v>
      </c>
      <c r="AM20" s="24" t="n">
        <f aca="false">AM8*Premissas!$B$19</f>
        <v>139.645314677368</v>
      </c>
      <c r="AN20" s="24" t="n">
        <f aca="false">AN8*Premissas!$B$19</f>
        <v>142.471322228823</v>
      </c>
      <c r="AO20" s="24" t="n">
        <f aca="false">AO8*Premissas!$B$19</f>
        <v>145.348884742621</v>
      </c>
      <c r="AP20" s="24" t="n">
        <f aca="false">AP8*Premissas!$B$19</f>
        <v>148.279778096312</v>
      </c>
      <c r="AQ20" s="24" t="n">
        <f aca="false">AQ8*Premissas!$B$19</f>
        <v>151.265701968251</v>
      </c>
      <c r="AR20" s="24" t="n">
        <f aca="false">AR8*Premissas!$B$19</f>
        <v>154.308295071127</v>
      </c>
      <c r="AS20" s="24" t="n">
        <f aca="false">AS8*Premissas!$B$19</f>
        <v>157.409148176534</v>
      </c>
      <c r="AT20" s="24" t="n">
        <f aca="false">AT8*Premissas!$B$19</f>
        <v>160.569815263451</v>
      </c>
      <c r="AU20" s="24" t="n">
        <f aca="false">AU8*Premissas!$B$19</f>
        <v>163.791823073599</v>
      </c>
      <c r="AV20" s="24" t="n">
        <f aca="false">AV8*Premissas!$B$19</f>
        <v>167.076679314218</v>
      </c>
      <c r="AW20" s="24" t="n">
        <f aca="false">AW8*Premissas!$B$19</f>
        <v>170.425879712777</v>
      </c>
      <c r="AX20" s="24" t="n">
        <f aca="false">AX8*Premissas!$B$19</f>
        <v>173.840914097466</v>
      </c>
      <c r="AY20" s="24" t="n">
        <f aca="false">AY8*Premissas!$B$19</f>
        <v>177.323271651284</v>
      </c>
      <c r="AZ20" s="24" t="n">
        <f aca="false">AZ8*Premissas!$B$19</f>
        <v>180.874445465398</v>
      </c>
      <c r="BA20" s="24" t="n">
        <f aca="false">BA8*Premissas!$B$19</f>
        <v>184.495936498631</v>
      </c>
      <c r="BB20" s="24" t="n">
        <f aca="false">BB8*Premissas!$B$19</f>
        <v>188.18925703394</v>
      </c>
      <c r="BC20" s="24" t="n">
        <f aca="false">BC8*Premissas!$B$19</f>
        <v>191.955933709154</v>
      </c>
      <c r="BD20" s="24" t="n">
        <f aca="false">BD8*Premissas!$B$19</f>
        <v>195.797510187693</v>
      </c>
      <c r="BE20" s="24" t="n">
        <f aca="false">BE8*Premissas!$B$19</f>
        <v>199.715549525149</v>
      </c>
      <c r="BF20" s="24" t="n">
        <f aca="false">BF8*Premissas!$B$19</f>
        <v>203.711636279299</v>
      </c>
      <c r="BG20" s="24" t="n">
        <f aca="false">BG8*Premissas!$B$19</f>
        <v>207.787378403984</v>
      </c>
      <c r="BH20" s="24" t="n">
        <f aca="false">BH8*Premissas!$B$19</f>
        <v>211.944408961299</v>
      </c>
      <c r="BI20" s="24" t="n">
        <f aca="false">BI8*Premissas!$B$19</f>
        <v>216.184387681374</v>
      </c>
      <c r="BJ20" s="24" t="n">
        <f aca="false">BJ8*Premissas!$B$19</f>
        <v>220.509002394724</v>
      </c>
      <c r="BK20" s="24" t="n">
        <f aca="false">BK8*Premissas!$B$19</f>
        <v>224.919970358382</v>
      </c>
    </row>
    <row r="21" customFormat="false" ht="15" hidden="false" customHeight="false" outlineLevel="0" collapsed="false">
      <c r="A21" s="9" t="s">
        <v>160</v>
      </c>
      <c r="B21" s="19" t="s">
        <v>155</v>
      </c>
      <c r="C21" s="22" t="n">
        <v>0</v>
      </c>
      <c r="D21" s="22" t="n">
        <f aca="false">(D19+D20)*Premissas!$B$22</f>
        <v>480</v>
      </c>
      <c r="E21" s="22" t="n">
        <f aca="false">(E19+E20)*Premissas!$B$22</f>
        <v>897.6</v>
      </c>
      <c r="F21" s="22" t="n">
        <f aca="false">(F19+F20)*Premissas!$B$22</f>
        <v>1367.952</v>
      </c>
      <c r="G21" s="22" t="n">
        <f aca="false">(G19+G20)*Premissas!$B$22</f>
        <v>1788.25104</v>
      </c>
      <c r="H21" s="22" t="n">
        <f aca="false">(H19+H20)*Premissas!$B$22</f>
        <v>2165.7430608</v>
      </c>
      <c r="I21" s="22" t="n">
        <f aca="false">(I19+I20)*Premissas!$B$22</f>
        <v>2506.635632016</v>
      </c>
      <c r="J21" s="22" t="n">
        <f aca="false">(J19+J20)*Premissas!$B$22</f>
        <v>2816.25037735632</v>
      </c>
      <c r="K21" s="22" t="n">
        <f aca="false">(K19+K20)*Premissas!$B$22</f>
        <v>3099.15281356245</v>
      </c>
      <c r="L21" s="22" t="n">
        <f aca="false">(L19+L20)*Premissas!$B$22</f>
        <v>3359.26296898873</v>
      </c>
      <c r="M21" s="22" t="n">
        <f aca="false">(M19+M20)*Premissas!$B$22</f>
        <v>3599.94964466157</v>
      </c>
      <c r="N21" s="22" t="n">
        <f aca="false">(N19+N20)*Premissas!$B$22</f>
        <v>3824.11075285429</v>
      </c>
      <c r="O21" s="22" t="n">
        <f aca="false">(O19+O20)*Premissas!$B$22</f>
        <v>4034.2418044503</v>
      </c>
      <c r="P21" s="22" t="n">
        <f aca="false">(P19+P20)*Premissas!$B$22</f>
        <v>4232.494307049</v>
      </c>
      <c r="Q21" s="22" t="n">
        <f aca="false">(Q19+Q20)*Premissas!$B$22</f>
        <v>4420.72557273869</v>
      </c>
      <c r="R21" s="22" t="n">
        <f aca="false">(R19+R20)*Premissas!$B$22</f>
        <v>4600.54121078412</v>
      </c>
      <c r="S21" s="22" t="n">
        <f aca="false">(S19+S20)*Premissas!$B$22</f>
        <v>4773.33139025815</v>
      </c>
      <c r="T21" s="22" t="n">
        <f aca="false">(T19+T20)*Premissas!$B$22</f>
        <v>4940.30179587671</v>
      </c>
      <c r="U21" s="22" t="n">
        <f aca="false">(U19+U20)*Premissas!$B$22</f>
        <v>5102.50006271193</v>
      </c>
      <c r="V21" s="22" t="n">
        <f aca="false">(V19+V20)*Premissas!$B$22</f>
        <v>5260.83835844038</v>
      </c>
      <c r="W21" s="22" t="n">
        <f aca="false">(W19+W20)*Premissas!$B$22</f>
        <v>5416.11268225093</v>
      </c>
      <c r="X21" s="22" t="n">
        <f aca="false">(X19+X20)*Premissas!$B$22</f>
        <v>5569.01936487299</v>
      </c>
      <c r="Y21" s="22" t="n">
        <f aca="false">(Y19+Y20)*Premissas!$B$22</f>
        <v>5720.16918216597</v>
      </c>
      <c r="Z21" s="22" t="n">
        <f aca="false">(Z19+Z20)*Premissas!$B$22</f>
        <v>5870.09943344132</v>
      </c>
      <c r="AA21" s="22" t="n">
        <f aca="false">(AA19+AA20)*Premissas!$B$22</f>
        <v>6019.28428356234</v>
      </c>
      <c r="AB21" s="22" t="n">
        <f aca="false">(AB19+AB20)*Premissas!$B$22</f>
        <v>6168.14362351572</v>
      </c>
      <c r="AC21" s="22" t="n">
        <f aca="false">(AC19+AC20)*Premissas!$B$22</f>
        <v>6317.0506664098</v>
      </c>
      <c r="AD21" s="22" t="n">
        <f aca="false">(AD19+AD20)*Premissas!$B$22</f>
        <v>6466.33846373942</v>
      </c>
      <c r="AE21" s="22" t="n">
        <f aca="false">(AE19+AE20)*Premissas!$B$22</f>
        <v>6616.30549942536</v>
      </c>
      <c r="AF21" s="22" t="n">
        <f aca="false">(AF19+AF20)*Premissas!$B$22</f>
        <v>6767.22049587248</v>
      </c>
      <c r="AG21" s="22" t="n">
        <f aca="false">(AG19+AG20)*Premissas!$B$22</f>
        <v>6919.32654648816</v>
      </c>
      <c r="AH21" s="22" t="n">
        <f aca="false">(AH19+AH20)*Premissas!$B$22</f>
        <v>7072.84467224316</v>
      </c>
      <c r="AI21" s="22" t="n">
        <f aca="false">(AI19+AI20)*Premissas!$B$22</f>
        <v>7227.97688550267</v>
      </c>
      <c r="AJ21" s="22" t="n">
        <f aca="false">(AJ19+AJ20)*Premissas!$B$22</f>
        <v>7384.90883213131</v>
      </c>
      <c r="AK21" s="22" t="n">
        <f aca="false">(AK19+AK20)*Premissas!$B$22</f>
        <v>7543.81207246478</v>
      </c>
      <c r="AL21" s="22" t="n">
        <f aca="false">(AL19+AL20)*Premissas!$B$22</f>
        <v>7704.84605287255</v>
      </c>
      <c r="AM21" s="22" t="n">
        <f aca="false">(AM19+AM20)*Premissas!$B$22</f>
        <v>7868.15981208025</v>
      </c>
      <c r="AN21" s="22" t="n">
        <f aca="false">(AN19+AN20)*Premissas!$B$22</f>
        <v>8033.89345998226</v>
      </c>
      <c r="AO21" s="22" t="n">
        <f aca="false">(AO19+AO20)*Premissas!$B$22</f>
        <v>8202.17946118734</v>
      </c>
      <c r="AP21" s="22" t="n">
        <f aca="false">(AP19+AP20)*Premissas!$B$22</f>
        <v>8373.14375086226</v>
      </c>
      <c r="AQ21" s="22" t="n">
        <f aca="false">(AQ19+AQ20)*Premissas!$B$22</f>
        <v>8546.90670644985</v>
      </c>
      <c r="AR21" s="22" t="n">
        <f aca="false">(AR19+AR20)*Premissas!$B$22</f>
        <v>8723.58399543552</v>
      </c>
      <c r="AS21" s="22" t="n">
        <f aca="false">(AS19+AS20)*Premissas!$B$22</f>
        <v>8903.28731643454</v>
      </c>
      <c r="AT21" s="22" t="n">
        <f aca="false">(AT19+AT20)*Premissas!$B$22</f>
        <v>9086.12504839515</v>
      </c>
      <c r="AU21" s="22" t="n">
        <f aca="false">(AU19+AU20)*Premissas!$B$22</f>
        <v>9272.20282059895</v>
      </c>
      <c r="AV21" s="22" t="n">
        <f aca="false">(AV19+AV20)*Premissas!$B$22</f>
        <v>9461.62401433429</v>
      </c>
      <c r="AW21" s="22" t="n">
        <f aca="false">(AW19+AW20)*Premissas!$B$22</f>
        <v>9654.49020557686</v>
      </c>
      <c r="AX21" s="22" t="n">
        <f aca="false">(AX19+AX20)*Premissas!$B$22</f>
        <v>9850.90155669343</v>
      </c>
      <c r="AY21" s="22" t="n">
        <f aca="false">(AY19+AY20)*Premissas!$B$22</f>
        <v>10050.9571640587</v>
      </c>
      <c r="AZ21" s="22" t="n">
        <f aca="false">(AZ19+AZ20)*Premissas!$B$22</f>
        <v>10254.7553675116</v>
      </c>
      <c r="BA21" s="22" t="n">
        <f aca="false">(BA19+BA20)*Premissas!$B$22</f>
        <v>10462.3940267527</v>
      </c>
      <c r="BB21" s="22" t="n">
        <f aca="false">(BB19+BB20)*Premissas!$B$22</f>
        <v>10673.9707690804</v>
      </c>
      <c r="BC21" s="22" t="n">
        <f aca="false">(BC19+BC20)*Premissas!$B$22</f>
        <v>10889.5832122563</v>
      </c>
      <c r="BD21" s="22" t="n">
        <f aca="false">(BD19+BD20)*Premissas!$B$22</f>
        <v>11109.3291657754</v>
      </c>
      <c r="BE21" s="22" t="n">
        <f aca="false">(BE19+BE20)*Premissas!$B$22</f>
        <v>11333.3068133709</v>
      </c>
      <c r="BF21" s="22" t="n">
        <f aca="false">(BF19+BF20)*Premissas!$B$22</f>
        <v>11561.6148792015</v>
      </c>
      <c r="BG21" s="22" t="n">
        <f aca="false">(BG19+BG20)*Premissas!$B$22</f>
        <v>11794.3527798454</v>
      </c>
      <c r="BH21" s="22" t="n">
        <f aca="false">(BH19+BH20)*Premissas!$B$22</f>
        <v>12031.6207639399</v>
      </c>
      <c r="BI21" s="22" t="n">
        <f aca="false">(BI19+BI20)*Premissas!$B$22</f>
        <v>12273.5200410667</v>
      </c>
      <c r="BJ21" s="22" t="n">
        <f aca="false">(BJ19+BJ20)*Premissas!$B$22</f>
        <v>12520.1529012738</v>
      </c>
      <c r="BK21" s="22" t="n">
        <f aca="false">(BK19+BK20)*Premissas!$B$22</f>
        <v>12771.6228264469</v>
      </c>
    </row>
    <row r="22" customFormat="false" ht="15" hidden="false" customHeight="false" outlineLevel="0" collapsed="false">
      <c r="A22" s="9" t="s">
        <v>161</v>
      </c>
      <c r="B22" s="19" t="s">
        <v>155</v>
      </c>
      <c r="C22" s="22" t="n">
        <v>0</v>
      </c>
      <c r="D22" s="22" t="n">
        <f aca="false">(D19+D20)*Premissas!$B$23</f>
        <v>300</v>
      </c>
      <c r="E22" s="22" t="n">
        <f aca="false">(E19+E20)*Premissas!$B$23</f>
        <v>561</v>
      </c>
      <c r="F22" s="22" t="n">
        <f aca="false">(F19+F20)*Premissas!$B$23</f>
        <v>854.97</v>
      </c>
      <c r="G22" s="22" t="n">
        <f aca="false">(G19+G20)*Premissas!$B$23</f>
        <v>1117.6569</v>
      </c>
      <c r="H22" s="22" t="n">
        <f aca="false">(H19+H20)*Premissas!$B$23</f>
        <v>1353.589413</v>
      </c>
      <c r="I22" s="22" t="n">
        <f aca="false">(I19+I20)*Premissas!$B$23</f>
        <v>1566.64727001</v>
      </c>
      <c r="J22" s="22" t="n">
        <f aca="false">(J19+J20)*Premissas!$B$23</f>
        <v>1760.1564858477</v>
      </c>
      <c r="K22" s="22" t="n">
        <f aca="false">(K19+K20)*Premissas!$B$23</f>
        <v>1936.97050847653</v>
      </c>
      <c r="L22" s="22" t="n">
        <f aca="false">(L19+L20)*Premissas!$B$23</f>
        <v>2099.53935561795</v>
      </c>
      <c r="M22" s="22" t="n">
        <f aca="false">(M19+M20)*Premissas!$B$23</f>
        <v>2249.96852791348</v>
      </c>
      <c r="N22" s="22" t="n">
        <f aca="false">(N19+N20)*Premissas!$B$23</f>
        <v>2390.06922053393</v>
      </c>
      <c r="O22" s="22" t="n">
        <f aca="false">(O19+O20)*Premissas!$B$23</f>
        <v>2521.40112778144</v>
      </c>
      <c r="P22" s="22" t="n">
        <f aca="false">(P19+P20)*Premissas!$B$23</f>
        <v>2645.30894190562</v>
      </c>
      <c r="Q22" s="22" t="n">
        <f aca="false">(Q19+Q20)*Premissas!$B$23</f>
        <v>2762.95348296168</v>
      </c>
      <c r="R22" s="22" t="n">
        <f aca="false">(R19+R20)*Premissas!$B$23</f>
        <v>2875.33825674007</v>
      </c>
      <c r="S22" s="22" t="n">
        <f aca="false">(S19+S20)*Premissas!$B$23</f>
        <v>2983.33211891134</v>
      </c>
      <c r="T22" s="22" t="n">
        <f aca="false">(T19+T20)*Premissas!$B$23</f>
        <v>3087.68862242294</v>
      </c>
      <c r="U22" s="22" t="n">
        <f aca="false">(U19+U20)*Premissas!$B$23</f>
        <v>3189.06253919495</v>
      </c>
      <c r="V22" s="22" t="n">
        <f aca="false">(V19+V20)*Premissas!$B$23</f>
        <v>3288.02397402524</v>
      </c>
      <c r="W22" s="22" t="n">
        <f aca="false">(W19+W20)*Premissas!$B$23</f>
        <v>3385.07042640683</v>
      </c>
      <c r="X22" s="22" t="n">
        <f aca="false">(X19+X20)*Premissas!$B$23</f>
        <v>3480.63710304562</v>
      </c>
      <c r="Y22" s="22" t="n">
        <f aca="false">(Y19+Y20)*Premissas!$B$23</f>
        <v>3575.10573885373</v>
      </c>
      <c r="Z22" s="22" t="n">
        <f aca="false">(Z19+Z20)*Premissas!$B$23</f>
        <v>3668.81214590082</v>
      </c>
      <c r="AA22" s="22" t="n">
        <f aca="false">(AA19+AA20)*Premissas!$B$23</f>
        <v>3762.05267722646</v>
      </c>
      <c r="AB22" s="22" t="n">
        <f aca="false">(AB19+AB20)*Premissas!$B$23</f>
        <v>3855.08976469732</v>
      </c>
      <c r="AC22" s="22" t="n">
        <f aca="false">(AC19+AC20)*Premissas!$B$23</f>
        <v>3948.15666650612</v>
      </c>
      <c r="AD22" s="22" t="n">
        <f aca="false">(AD19+AD20)*Premissas!$B$23</f>
        <v>4041.46153983714</v>
      </c>
      <c r="AE22" s="22" t="n">
        <f aca="false">(AE19+AE20)*Premissas!$B$23</f>
        <v>4135.19093714085</v>
      </c>
      <c r="AF22" s="22" t="n">
        <f aca="false">(AF19+AF20)*Premissas!$B$23</f>
        <v>4229.5128099203</v>
      </c>
      <c r="AG22" s="22" t="n">
        <f aca="false">(AG19+AG20)*Premissas!$B$23</f>
        <v>4324.5790915551</v>
      </c>
      <c r="AH22" s="22" t="n">
        <f aca="false">(AH19+AH20)*Premissas!$B$23</f>
        <v>4420.52792015197</v>
      </c>
      <c r="AI22" s="22" t="n">
        <f aca="false">(AI19+AI20)*Premissas!$B$23</f>
        <v>4517.48555343917</v>
      </c>
      <c r="AJ22" s="22" t="n">
        <f aca="false">(AJ19+AJ20)*Premissas!$B$23</f>
        <v>4615.56802008207</v>
      </c>
      <c r="AK22" s="22" t="n">
        <f aca="false">(AK19+AK20)*Premissas!$B$23</f>
        <v>4714.88254529049</v>
      </c>
      <c r="AL22" s="22" t="n">
        <f aca="false">(AL19+AL20)*Premissas!$B$23</f>
        <v>4815.52878304534</v>
      </c>
      <c r="AM22" s="22" t="n">
        <f aca="false">(AM19+AM20)*Premissas!$B$23</f>
        <v>4917.59988255015</v>
      </c>
      <c r="AN22" s="22" t="n">
        <f aca="false">(AN19+AN20)*Premissas!$B$23</f>
        <v>5021.18341248891</v>
      </c>
      <c r="AO22" s="22" t="n">
        <f aca="false">(AO19+AO20)*Premissas!$B$23</f>
        <v>5126.36216324209</v>
      </c>
      <c r="AP22" s="22" t="n">
        <f aca="false">(AP19+AP20)*Premissas!$B$23</f>
        <v>5233.21484428892</v>
      </c>
      <c r="AQ22" s="22" t="n">
        <f aca="false">(AQ19+AQ20)*Premissas!$B$23</f>
        <v>5341.81669153115</v>
      </c>
      <c r="AR22" s="22" t="n">
        <f aca="false">(AR19+AR20)*Premissas!$B$23</f>
        <v>5452.2399971472</v>
      </c>
      <c r="AS22" s="22" t="n">
        <f aca="false">(AS19+AS20)*Premissas!$B$23</f>
        <v>5564.55457277159</v>
      </c>
      <c r="AT22" s="22" t="n">
        <f aca="false">(AT19+AT20)*Premissas!$B$23</f>
        <v>5678.82815524697</v>
      </c>
      <c r="AU22" s="22" t="n">
        <f aca="false">(AU19+AU20)*Premissas!$B$23</f>
        <v>5795.12676287434</v>
      </c>
      <c r="AV22" s="22" t="n">
        <f aca="false">(AV19+AV20)*Premissas!$B$23</f>
        <v>5913.51500895893</v>
      </c>
      <c r="AW22" s="22" t="n">
        <f aca="false">(AW19+AW20)*Premissas!$B$23</f>
        <v>6034.05637848554</v>
      </c>
      <c r="AX22" s="22" t="n">
        <f aca="false">(AX19+AX20)*Premissas!$B$23</f>
        <v>6156.8134729334</v>
      </c>
      <c r="AY22" s="22" t="n">
        <f aca="false">(AY19+AY20)*Premissas!$B$23</f>
        <v>6281.8482275367</v>
      </c>
      <c r="AZ22" s="22" t="n">
        <f aca="false">(AZ19+AZ20)*Premissas!$B$23</f>
        <v>6409.22210469473</v>
      </c>
      <c r="BA22" s="22" t="n">
        <f aca="false">(BA19+BA20)*Premissas!$B$23</f>
        <v>6538.99626672044</v>
      </c>
      <c r="BB22" s="22" t="n">
        <f aca="false">(BB19+BB20)*Premissas!$B$23</f>
        <v>6671.23173067525</v>
      </c>
      <c r="BC22" s="22" t="n">
        <f aca="false">(BC19+BC20)*Premissas!$B$23</f>
        <v>6805.98950766018</v>
      </c>
      <c r="BD22" s="22" t="n">
        <f aca="false">(BD19+BD20)*Premissas!$B$23</f>
        <v>6943.33072860966</v>
      </c>
      <c r="BE22" s="22" t="n">
        <f aca="false">(BE19+BE20)*Premissas!$B$23</f>
        <v>7083.3167583568</v>
      </c>
      <c r="BF22" s="22" t="n">
        <f aca="false">(BF19+BF20)*Premissas!$B$23</f>
        <v>7226.00929950091</v>
      </c>
      <c r="BG22" s="22" t="n">
        <f aca="false">(BG19+BG20)*Premissas!$B$23</f>
        <v>7371.47048740336</v>
      </c>
      <c r="BH22" s="22" t="n">
        <f aca="false">(BH19+BH20)*Premissas!$B$23</f>
        <v>7519.76297746245</v>
      </c>
      <c r="BI22" s="22" t="n">
        <f aca="false">(BI19+BI20)*Premissas!$B$23</f>
        <v>7670.95002566667</v>
      </c>
      <c r="BJ22" s="22" t="n">
        <f aca="false">(BJ19+BJ20)*Premissas!$B$23</f>
        <v>7825.09556329609</v>
      </c>
      <c r="BK22" s="22" t="n">
        <f aca="false">(BK19+BK20)*Premissas!$B$23</f>
        <v>7982.2642665293</v>
      </c>
    </row>
    <row r="23" customFormat="false" ht="15" hidden="false" customHeight="false" outlineLevel="0" collapsed="false">
      <c r="A23" s="9" t="s">
        <v>162</v>
      </c>
      <c r="B23" s="19" t="s">
        <v>155</v>
      </c>
      <c r="C23" s="22" t="n">
        <v>0</v>
      </c>
      <c r="D23" s="22" t="n">
        <f aca="false">D13*Premissas!$B$24</f>
        <v>0</v>
      </c>
      <c r="E23" s="22" t="n">
        <f aca="false">E13*Premissas!$B$24</f>
        <v>0</v>
      </c>
      <c r="F23" s="22" t="n">
        <f aca="false">F13*Premissas!$B$24</f>
        <v>4.2</v>
      </c>
      <c r="G23" s="22" t="n">
        <f aca="false">G13*Premissas!$B$24</f>
        <v>8.148</v>
      </c>
      <c r="H23" s="22" t="n">
        <f aca="false">H13*Premissas!$B$24</f>
        <v>11.86584</v>
      </c>
      <c r="I23" s="22" t="n">
        <f aca="false">I13*Premissas!$B$24</f>
        <v>15.3736464</v>
      </c>
      <c r="J23" s="22" t="n">
        <f aca="false">J13*Premissas!$B$24</f>
        <v>18.68996976</v>
      </c>
      <c r="K23" s="22" t="n">
        <f aca="false">K13*Premissas!$B$24</f>
        <v>21.83191155264</v>
      </c>
      <c r="L23" s="22" t="n">
        <f aca="false">L13*Premissas!$B$24</f>
        <v>24.8152407893376</v>
      </c>
      <c r="M23" s="22" t="n">
        <f aca="false">M13*Premissas!$B$24</f>
        <v>27.6545013303176</v>
      </c>
      <c r="N23" s="22" t="n">
        <f aca="false">N13*Premissas!$B$24</f>
        <v>30.3631106241017</v>
      </c>
      <c r="O23" s="22" t="n">
        <f aca="false">O13*Premissas!$B$24</f>
        <v>32.9534505623872</v>
      </c>
      <c r="P23" s="22" t="n">
        <f aca="false">P13*Premissas!$B$24</f>
        <v>35.4369510813743</v>
      </c>
      <c r="Q23" s="22" t="n">
        <f aca="false">Q13*Premissas!$B$24</f>
        <v>37.8241670901219</v>
      </c>
      <c r="R23" s="22" t="n">
        <f aca="false">R13*Premissas!$B$24</f>
        <v>40.1248492600748</v>
      </c>
      <c r="S23" s="22" t="n">
        <f aca="false">S13*Premissas!$B$24</f>
        <v>42.3480091671748</v>
      </c>
      <c r="T23" s="22" t="n">
        <f aca="false">T13*Premissas!$B$24</f>
        <v>44.5019792386648</v>
      </c>
      <c r="U23" s="22" t="n">
        <f aca="false">U13*Premissas!$B$24</f>
        <v>46.594467920533</v>
      </c>
      <c r="V23" s="22" t="n">
        <f aca="false">V13*Premissas!$B$24</f>
        <v>48.6326104482709</v>
      </c>
      <c r="W23" s="22" t="n">
        <f aca="false">W13*Premissas!$B$24</f>
        <v>50.6230155730174</v>
      </c>
      <c r="X23" s="22" t="n">
        <f aca="false">X13*Premissas!$B$24</f>
        <v>52.5718085669964</v>
      </c>
      <c r="Y23" s="22" t="n">
        <f aca="false">Y13*Premissas!$B$24</f>
        <v>54.4846708062534</v>
      </c>
      <c r="Z23" s="22" t="n">
        <f aca="false">Z13*Premissas!$B$24</f>
        <v>56.3668762048623</v>
      </c>
      <c r="AA23" s="22" t="n">
        <f aca="false">AA13*Premissas!$B$24</f>
        <v>58.2233247528445</v>
      </c>
      <c r="AB23" s="22" t="n">
        <f aca="false">AB13*Premissas!$B$24</f>
        <v>60.0585733898757</v>
      </c>
      <c r="AC23" s="22" t="n">
        <f aca="false">AC13*Premissas!$B$24</f>
        <v>61.8768644282895</v>
      </c>
      <c r="AD23" s="22" t="n">
        <f aca="false">AD13*Premissas!$B$24</f>
        <v>63.6821517218223</v>
      </c>
      <c r="AE23" s="22" t="n">
        <f aca="false">AE13*Premissas!$B$24</f>
        <v>65.4781247608284</v>
      </c>
      <c r="AF23" s="22" t="n">
        <f aca="false">AF13*Premissas!$B$24</f>
        <v>67.268230860249</v>
      </c>
      <c r="AG23" s="22" t="n">
        <f aca="false">AG13*Premissas!$B$24</f>
        <v>69.0556955933217</v>
      </c>
      <c r="AH23" s="22" t="n">
        <f aca="false">AH13*Premissas!$B$24</f>
        <v>70.8435416117865</v>
      </c>
      <c r="AI23" s="22" t="n">
        <f aca="false">AI13*Premissas!$B$24</f>
        <v>72.6346059820927</v>
      </c>
      <c r="AJ23" s="22" t="n">
        <f aca="false">AJ13*Premissas!$B$24</f>
        <v>74.4315561567593</v>
      </c>
      <c r="AK23" s="22" t="n">
        <f aca="false">AK13*Premissas!$B$24</f>
        <v>76.2369046905174</v>
      </c>
      <c r="AL23" s="22" t="n">
        <f aca="false">AL13*Premissas!$B$24</f>
        <v>78.0530228021007</v>
      </c>
      <c r="AM23" s="22" t="n">
        <f aca="false">AM13*Premissas!$B$24</f>
        <v>79.8821528744939</v>
      </c>
      <c r="AN23" s="22" t="n">
        <f aca="false">AN13*Premissas!$B$24</f>
        <v>81.7264199790269</v>
      </c>
      <c r="AO23" s="22" t="n">
        <f aca="false">AO13*Premissas!$B$24</f>
        <v>83.5878425018871</v>
      </c>
      <c r="AP23" s="22" t="n">
        <f aca="false">AP13*Premissas!$B$24</f>
        <v>85.4683419453421</v>
      </c>
      <c r="AQ23" s="22" t="n">
        <f aca="false">AQ13*Premissas!$B$24</f>
        <v>87.3697519701928</v>
      </c>
      <c r="AR23" s="22" t="n">
        <f aca="false">AR13*Premissas!$B$24</f>
        <v>89.293826740665</v>
      </c>
      <c r="AS23" s="22" t="n">
        <f aca="false">AS13*Premissas!$B$24</f>
        <v>91.2422486280612</v>
      </c>
      <c r="AT23" s="22" t="n">
        <f aca="false">AT13*Premissas!$B$24</f>
        <v>93.2166353249987</v>
      </c>
      <c r="AU23" s="22" t="n">
        <f aca="false">AU13*Premissas!$B$24</f>
        <v>95.2185464179248</v>
      </c>
      <c r="AV23" s="22" t="n">
        <f aca="false">AV13*Premissas!$B$24</f>
        <v>97.2494894617954</v>
      </c>
      <c r="AW23" s="22" t="n">
        <f aca="false">AW13*Premissas!$B$24</f>
        <v>99.3109255973024</v>
      </c>
      <c r="AX23" s="22" t="n">
        <f aca="false">AX13*Premissas!$B$24</f>
        <v>101.404274747818</v>
      </c>
      <c r="AY23" s="22" t="n">
        <f aca="false">AY13*Premissas!$B$24</f>
        <v>103.530920430258</v>
      </c>
      <c r="AZ23" s="22" t="n">
        <f aca="false">AZ13*Premissas!$B$24</f>
        <v>105.692214211348</v>
      </c>
      <c r="BA23" s="22" t="n">
        <f aca="false">BA13*Premissas!$B$24</f>
        <v>107.889479838262</v>
      </c>
      <c r="BB23" s="22" t="n">
        <f aca="false">BB13*Premissas!$B$24</f>
        <v>110.124017070298</v>
      </c>
      <c r="BC23" s="22" t="n">
        <f aca="false">BC13*Premissas!$B$24</f>
        <v>112.397105236154</v>
      </c>
      <c r="BD23" s="22" t="n">
        <f aca="false">BD13*Premissas!$B$24</f>
        <v>114.710006539371</v>
      </c>
      <c r="BE23" s="22" t="n">
        <f aca="false">BE13*Premissas!$B$24</f>
        <v>117.063969132773</v>
      </c>
      <c r="BF23" s="22" t="n">
        <f aca="false">BF13*Premissas!$B$24</f>
        <v>119.460229981033</v>
      </c>
      <c r="BG23" s="22" t="n">
        <f aca="false">BG13*Premissas!$B$24</f>
        <v>121.90001752901</v>
      </c>
      <c r="BH23" s="22" t="n">
        <f aca="false">BH13*Premissas!$B$24</f>
        <v>124.384554192079</v>
      </c>
      <c r="BI23" s="22" t="n">
        <f aca="false">BI13*Premissas!$B$24</f>
        <v>126.91505868341</v>
      </c>
      <c r="BJ23" s="22" t="n">
        <f aca="false">BJ13*Premissas!$B$24</f>
        <v>129.492748191968</v>
      </c>
      <c r="BK23" s="22" t="n">
        <f aca="false">BK13*Premissas!$B$24</f>
        <v>132.118840423906</v>
      </c>
    </row>
    <row r="24" customFormat="false" ht="15" hidden="false" customHeight="false" outlineLevel="0" collapsed="false">
      <c r="A24" s="13" t="s">
        <v>163</v>
      </c>
      <c r="B24" s="19" t="s">
        <v>155</v>
      </c>
      <c r="C24" s="23" t="n">
        <v>0</v>
      </c>
      <c r="D24" s="23" t="n">
        <f aca="false">D17+D18+D21+D22+D23</f>
        <v>780</v>
      </c>
      <c r="E24" s="23" t="n">
        <f aca="false">E17+E18+E21+E22+E23</f>
        <v>1458.6</v>
      </c>
      <c r="F24" s="23" t="n">
        <f aca="false">F17+F18+F21+F22+F23</f>
        <v>2489.922</v>
      </c>
      <c r="G24" s="23" t="n">
        <f aca="false">G17+G18+G21+G22+G23</f>
        <v>3423.88794</v>
      </c>
      <c r="H24" s="23" t="n">
        <f aca="false">H17+H18+H21+H22+H23</f>
        <v>4273.6608738</v>
      </c>
      <c r="I24" s="23" t="n">
        <f aca="false">I17+I18+I21+I22+I23</f>
        <v>5050.607566026</v>
      </c>
      <c r="J24" s="23" t="n">
        <f aca="false">J17+J18+J21+J22+J23</f>
        <v>5764.55494080402</v>
      </c>
      <c r="K24" s="23" t="n">
        <f aca="false">K17+K18+K21+K22+K23</f>
        <v>6424.00912788538</v>
      </c>
      <c r="L24" s="23" t="n">
        <f aca="false">L17+L18+L21+L22+L23</f>
        <v>7036.34263192886</v>
      </c>
      <c r="M24" s="23" t="n">
        <f aca="false">M17+M18+M21+M22+M23</f>
        <v>7607.9543285738</v>
      </c>
      <c r="N24" s="23" t="n">
        <f aca="false">N17+N18+N21+N22+N23</f>
        <v>8144.40629163468</v>
      </c>
      <c r="O24" s="23" t="n">
        <f aca="false">O17+O18+O21+O22+O23</f>
        <v>8650.54086084064</v>
      </c>
      <c r="P24" s="23" t="n">
        <f aca="false">P17+P18+P21+P22+P23</f>
        <v>9130.58085341341</v>
      </c>
      <c r="Q24" s="23" t="n">
        <f aca="false">Q17+Q18+Q21+Q22+Q23</f>
        <v>9588.21539214384</v>
      </c>
      <c r="R24" s="23" t="n">
        <f aca="false">R17+R18+R21+R22+R23</f>
        <v>10026.6734562004</v>
      </c>
      <c r="S24" s="23" t="n">
        <f aca="false">S17+S18+S21+S22+S23</f>
        <v>10448.7869490827</v>
      </c>
      <c r="T24" s="23" t="n">
        <f aca="false">T17+T18+T21+T22+T23</f>
        <v>10857.0448127576</v>
      </c>
      <c r="U24" s="23" t="n">
        <f aca="false">U17+U18+U21+U22+U23</f>
        <v>11253.6394911408</v>
      </c>
      <c r="V24" s="23" t="n">
        <f aca="false">V17+V18+V21+V22+V23</f>
        <v>11640.50685382</v>
      </c>
      <c r="W24" s="23" t="n">
        <f aca="false">W17+W18+W21+W22+W23</f>
        <v>12019.3605272282</v>
      </c>
      <c r="X24" s="23" t="n">
        <f aca="false">X17+X18+X21+X22+X23</f>
        <v>12391.7214411062</v>
      </c>
      <c r="Y24" s="23" t="n">
        <f aca="false">Y17+Y18+Y21+Y22+Y23</f>
        <v>12758.9432794172</v>
      </c>
      <c r="Z24" s="23" t="n">
        <f aca="false">Z17+Z18+Z21+Z22+Z23</f>
        <v>13122.2344237941</v>
      </c>
      <c r="AA24" s="23" t="n">
        <f aca="false">AA17+AA18+AA21+AA22+AA23</f>
        <v>13482.6768915053</v>
      </c>
      <c r="AB24" s="23" t="n">
        <f aca="false">AB17+AB18+AB21+AB22+AB23</f>
        <v>13841.2426965694</v>
      </c>
      <c r="AC24" s="23" t="n">
        <f aca="false">AC17+AC18+AC21+AC22+AC23</f>
        <v>14198.8080001429</v>
      </c>
      <c r="AD24" s="23" t="n">
        <f aca="false">AD17+AD18+AD21+AD22+AD23</f>
        <v>14556.1653630353</v>
      </c>
      <c r="AE24" s="23" t="n">
        <f aca="false">AE17+AE18+AE21+AE22+AE23</f>
        <v>14914.0343677903</v>
      </c>
      <c r="AF24" s="23" t="n">
        <f aca="false">AF17+AF18+AF21+AF22+AF23</f>
        <v>15273.0708390515</v>
      </c>
      <c r="AG24" s="23" t="n">
        <f aca="false">AG17+AG18+AG21+AG22+AG23</f>
        <v>15633.8748579044</v>
      </c>
      <c r="AH24" s="23" t="n">
        <f aca="false">AH17+AH18+AH21+AH22+AH23</f>
        <v>15996.9977377158</v>
      </c>
      <c r="AI24" s="23" t="n">
        <f aca="false">AI17+AI18+AI21+AI22+AI23</f>
        <v>16362.9481049463</v>
      </c>
      <c r="AJ24" s="23" t="n">
        <f aca="false">AJ17+AJ18+AJ21+AJ22+AJ23</f>
        <v>16732.1972078931</v>
      </c>
      <c r="AK24" s="23" t="n">
        <f aca="false">AK17+AK18+AK21+AK22+AK23</f>
        <v>17105.1835587953</v>
      </c>
      <c r="AL24" s="23" t="n">
        <f aca="false">AL17+AL18+AL21+AL22+AL23</f>
        <v>17482.3169997657</v>
      </c>
      <c r="AM24" s="23" t="n">
        <f aca="false">AM17+AM18+AM21+AM22+AM23</f>
        <v>17863.9822702232</v>
      </c>
      <c r="AN24" s="23" t="n">
        <f aca="false">AN17+AN18+AN21+AN22+AN23</f>
        <v>18250.5421425665</v>
      </c>
      <c r="AO24" s="23" t="n">
        <f aca="false">AO17+AO18+AO21+AO22+AO23</f>
        <v>18642.340183478</v>
      </c>
      <c r="AP24" s="23" t="n">
        <f aca="false">AP17+AP18+AP21+AP22+AP23</f>
        <v>19039.7031902479</v>
      </c>
      <c r="AQ24" s="23" t="n">
        <f aca="false">AQ17+AQ18+AQ21+AQ22+AQ23</f>
        <v>19442.9433446575</v>
      </c>
      <c r="AR24" s="23" t="n">
        <f aca="false">AR17+AR18+AR21+AR22+AR23</f>
        <v>19852.3601210964</v>
      </c>
      <c r="AS24" s="23" t="n">
        <f aca="false">AS17+AS18+AS21+AS22+AS23</f>
        <v>20268.2419805614</v>
      </c>
      <c r="AT24" s="23" t="n">
        <f aca="false">AT17+AT18+AT21+AT22+AT23</f>
        <v>20690.8678778742</v>
      </c>
      <c r="AU24" s="23" t="n">
        <f aca="false">AU17+AU18+AU21+AU22+AU23</f>
        <v>21120.5086057557</v>
      </c>
      <c r="AV24" s="23" t="n">
        <f aca="false">AV17+AV18+AV21+AV22+AV23</f>
        <v>21557.4279962216</v>
      </c>
      <c r="AW24" s="23" t="n">
        <f aca="false">AW17+AW18+AW21+AW22+AW23</f>
        <v>22001.8839970338</v>
      </c>
      <c r="AX24" s="23" t="n">
        <f aca="false">AX17+AX18+AX21+AX22+AX23</f>
        <v>22454.1296385953</v>
      </c>
      <c r="AY24" s="23" t="n">
        <f aca="false">AY17+AY18+AY21+AY22+AY23</f>
        <v>22914.4139046618</v>
      </c>
      <c r="AZ24" s="23" t="n">
        <f aca="false">AZ17+AZ18+AZ21+AZ22+AZ23</f>
        <v>23382.9825184992</v>
      </c>
      <c r="BA24" s="23" t="n">
        <f aca="false">BA17+BA18+BA21+BA22+BA23</f>
        <v>23860.0786546198</v>
      </c>
      <c r="BB24" s="23" t="n">
        <f aca="false">BB17+BB18+BB21+BB22+BB23</f>
        <v>24345.9435849389</v>
      </c>
      <c r="BC24" s="23" t="n">
        <f aca="false">BC17+BC18+BC21+BC22+BC23</f>
        <v>24840.817267072</v>
      </c>
      <c r="BD24" s="23" t="n">
        <f aca="false">BD17+BD18+BD21+BD22+BD23</f>
        <v>25344.9388815308</v>
      </c>
      <c r="BE24" s="23" t="n">
        <f aca="false">BE17+BE18+BE21+BE22+BE23</f>
        <v>25858.5473237397</v>
      </c>
      <c r="BF24" s="23" t="n">
        <f aca="false">BF17+BF18+BF21+BF22+BF23</f>
        <v>26381.881656068</v>
      </c>
      <c r="BG24" s="23" t="n">
        <f aca="false">BG17+BG18+BG21+BG22+BG23</f>
        <v>26915.1815244501</v>
      </c>
      <c r="BH24" s="23" t="n">
        <f aca="false">BH17+BH18+BH21+BH22+BH23</f>
        <v>27458.6875436131</v>
      </c>
      <c r="BI24" s="23" t="n">
        <f aca="false">BI17+BI18+BI21+BI22+BI23</f>
        <v>28012.6416544644</v>
      </c>
      <c r="BJ24" s="23" t="n">
        <f aca="false">BJ17+BJ18+BJ21+BJ22+BJ23</f>
        <v>28577.2874567735</v>
      </c>
      <c r="BK24" s="23" t="n">
        <f aca="false">BK17+BK18+BK21+BK22+BK23</f>
        <v>29152.8705199245</v>
      </c>
    </row>
    <row r="26" customFormat="false" ht="15" hidden="false" customHeight="false" outlineLevel="0" collapsed="false">
      <c r="A26" s="12" t="s">
        <v>164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</row>
    <row r="27" customFormat="false" ht="15" hidden="false" customHeight="false" outlineLevel="0" collapsed="false">
      <c r="A27" s="9" t="s">
        <v>165</v>
      </c>
      <c r="B27" s="19" t="s">
        <v>155</v>
      </c>
      <c r="C27" s="22" t="n">
        <v>0</v>
      </c>
      <c r="D27" s="22" t="n">
        <f aca="false">D14*Premissas!$B$28</f>
        <v>1080</v>
      </c>
      <c r="E27" s="22" t="n">
        <f aca="false">E14*Premissas!$B$28</f>
        <v>2019.6</v>
      </c>
      <c r="F27" s="22" t="n">
        <f aca="false">F14*Premissas!$B$28</f>
        <v>2840.292</v>
      </c>
      <c r="G27" s="22" t="n">
        <f aca="false">G14*Premissas!$B$28</f>
        <v>3562.62084</v>
      </c>
      <c r="H27" s="22" t="n">
        <f aca="false">H14*Premissas!$B$28</f>
        <v>4201.6543668</v>
      </c>
      <c r="I27" s="22" t="n">
        <f aca="false">I14*Premissas!$B$28</f>
        <v>4770.221032836</v>
      </c>
      <c r="J27" s="22" t="n">
        <f aca="false">J14*Premissas!$B$28</f>
        <v>5279.24505977172</v>
      </c>
      <c r="K27" s="22" t="n">
        <f aca="false">K14*Premissas!$B$28</f>
        <v>5738.03140553758</v>
      </c>
      <c r="L27" s="22" t="n">
        <f aca="false">L14*Premissas!$B$28</f>
        <v>6154.50805842782</v>
      </c>
      <c r="M27" s="22" t="n">
        <f aca="false">M14*Premissas!$B$28</f>
        <v>6535.43205380198</v>
      </c>
      <c r="N27" s="22" t="n">
        <f aca="false">N14*Premissas!$B$28</f>
        <v>6886.5646500444</v>
      </c>
      <c r="O27" s="22" t="n">
        <f aca="false">O14*Premissas!$B$28</f>
        <v>7212.82028534098</v>
      </c>
      <c r="P27" s="22" t="n">
        <f aca="false">P14*Premissas!$B$28</f>
        <v>7518.39324397107</v>
      </c>
      <c r="Q27" s="22" t="n">
        <f aca="false">Q14*Premissas!$B$28</f>
        <v>7806.86537184945</v>
      </c>
      <c r="R27" s="22" t="n">
        <f aca="false">R14*Premissas!$B$28</f>
        <v>8081.2976804086</v>
      </c>
      <c r="S27" s="22" t="n">
        <f aca="false">S14*Premissas!$B$28</f>
        <v>8344.30825233781</v>
      </c>
      <c r="T27" s="22" t="n">
        <f aca="false">T14*Premissas!$B$28</f>
        <v>8598.13850093527</v>
      </c>
      <c r="U27" s="22" t="n">
        <f aca="false">U14*Premissas!$B$28</f>
        <v>8844.70952731168</v>
      </c>
      <c r="V27" s="22" t="n">
        <f aca="false">V14*Premissas!$B$28</f>
        <v>9085.67005827439</v>
      </c>
      <c r="W27" s="22" t="n">
        <f aca="false">W14*Premissas!$B$28</f>
        <v>9322.43722550532</v>
      </c>
      <c r="X27" s="22" t="n">
        <f aca="false">X14*Premissas!$B$28</f>
        <v>9556.23125774557</v>
      </c>
      <c r="Y27" s="22" t="n">
        <f aca="false">Y14*Premissas!$B$28</f>
        <v>9788.10499711967</v>
      </c>
      <c r="Z27" s="22" t="n">
        <f aca="false">Z14*Premissas!$B$28</f>
        <v>10018.969014225</v>
      </c>
      <c r="AA27" s="22" t="n">
        <f aca="false">AA14*Premissas!$B$28</f>
        <v>10249.6129805686</v>
      </c>
      <c r="AB27" s="22" t="n">
        <f aca="false">AB14*Premissas!$B$28</f>
        <v>10480.7238582831</v>
      </c>
      <c r="AC27" s="22" t="n">
        <f aca="false">AC14*Premissas!$B$28</f>
        <v>10712.9013831931</v>
      </c>
      <c r="AD27" s="22" t="n">
        <f aca="false">AD14*Premissas!$B$28</f>
        <v>10946.6712460077</v>
      </c>
      <c r="AE27" s="22" t="n">
        <f aca="false">AE14*Premissas!$B$28</f>
        <v>11182.4963158088</v>
      </c>
      <c r="AF27" s="22" t="n">
        <f aca="false">AF14*Premissas!$B$28</f>
        <v>11420.7861984761</v>
      </c>
      <c r="AG27" s="22" t="n">
        <f aca="false">AG14*Premissas!$B$28</f>
        <v>11661.9053788905</v>
      </c>
      <c r="AH27" s="22" t="n">
        <f aca="false">AH14*Premissas!$B$28</f>
        <v>11906.1801585089</v>
      </c>
      <c r="AI27" s="22" t="n">
        <f aca="false">AI14*Premissas!$B$28</f>
        <v>12153.9045682512</v>
      </c>
      <c r="AJ27" s="22" t="n">
        <f aca="false">AJ14*Premissas!$B$28</f>
        <v>12405.3454097131</v>
      </c>
      <c r="AK27" s="22" t="n">
        <f aca="false">AK14*Premissas!$B$28</f>
        <v>12660.7465548394</v>
      </c>
      <c r="AL27" s="22" t="n">
        <f aca="false">AL14*Premissas!$B$28</f>
        <v>12920.3326147301</v>
      </c>
      <c r="AM27" s="22" t="n">
        <f aca="false">AM14*Premissas!$B$28</f>
        <v>13184.3120717092</v>
      </c>
      <c r="AN27" s="22" t="n">
        <f aca="false">AN14*Premissas!$B$28</f>
        <v>13452.879954718</v>
      </c>
      <c r="AO27" s="22" t="n">
        <f aca="false">AO14*Premissas!$B$28</f>
        <v>13726.2201261362</v>
      </c>
      <c r="AP27" s="22" t="n">
        <f aca="false">AP14*Premissas!$B$28</f>
        <v>14004.5072379607</v>
      </c>
      <c r="AQ27" s="22" t="n">
        <f aca="false">AQ14*Premissas!$B$28</f>
        <v>14287.908406627</v>
      </c>
      <c r="AR27" s="22" t="n">
        <f aca="false">AR14*Premissas!$B$28</f>
        <v>14576.5846484009</v>
      </c>
      <c r="AS27" s="22" t="n">
        <f aca="false">AS14*Premissas!$B$28</f>
        <v>14870.6921110188</v>
      </c>
      <c r="AT27" s="22" t="n">
        <f aca="false">AT14*Premissas!$B$28</f>
        <v>15170.383131932</v>
      </c>
      <c r="AU27" s="22" t="n">
        <f aca="false">AU14*Premissas!$B$28</f>
        <v>15475.8071489907</v>
      </c>
      <c r="AV27" s="22" t="n">
        <f aca="false">AV14*Premissas!$B$28</f>
        <v>15787.1114855563</v>
      </c>
      <c r="AW27" s="22" t="n">
        <f aca="false">AW14*Premissas!$B$28</f>
        <v>16104.4420287577</v>
      </c>
      <c r="AX27" s="22" t="n">
        <f aca="false">AX14*Premissas!$B$28</f>
        <v>16427.9438168265</v>
      </c>
      <c r="AY27" s="22" t="n">
        <f aca="false">AY14*Premissas!$B$28</f>
        <v>16757.7615490775</v>
      </c>
      <c r="AZ27" s="22" t="n">
        <f aca="false">AZ14*Premissas!$B$28</f>
        <v>17094.0400300876</v>
      </c>
      <c r="BA27" s="22" t="n">
        <f aca="false">BA14*Premissas!$B$28</f>
        <v>17436.9245579148</v>
      </c>
      <c r="BB27" s="22" t="n">
        <f aca="false">BB14*Premissas!$B$28</f>
        <v>17786.5612647397</v>
      </c>
      <c r="BC27" s="22" t="n">
        <f aca="false">BC14*Premissas!$B$28</f>
        <v>18143.0974170742</v>
      </c>
      <c r="BD27" s="22" t="n">
        <f aca="false">BD14*Premissas!$B$28</f>
        <v>18506.6816816246</v>
      </c>
      <c r="BE27" s="22" t="n">
        <f aca="false">BE14*Premissas!$B$28</f>
        <v>18877.4643620019</v>
      </c>
      <c r="BF27" s="22" t="n">
        <f aca="false">BF14*Premissas!$B$28</f>
        <v>19255.5976107048</v>
      </c>
      <c r="BG27" s="22" t="n">
        <f aca="false">BG14*Premissas!$B$28</f>
        <v>19641.2356201538</v>
      </c>
      <c r="BH27" s="22" t="n">
        <f aca="false">BH14*Premissas!$B$28</f>
        <v>20034.5347959986</v>
      </c>
      <c r="BI27" s="22" t="n">
        <f aca="false">BI14*Premissas!$B$28</f>
        <v>20435.6539154528</v>
      </c>
      <c r="BJ27" s="22" t="n">
        <f aca="false">BJ14*Premissas!$B$28</f>
        <v>20844.7542730061</v>
      </c>
      <c r="BK27" s="22" t="n">
        <f aca="false">BK14*Premissas!$B$28</f>
        <v>21261.9998155245</v>
      </c>
    </row>
    <row r="28" customFormat="false" ht="15" hidden="false" customHeight="false" outlineLevel="0" collapsed="false">
      <c r="A28" s="9" t="s">
        <v>166</v>
      </c>
      <c r="B28" s="19" t="s">
        <v>155</v>
      </c>
      <c r="C28" s="22" t="n">
        <v>0</v>
      </c>
      <c r="D28" s="22" t="n">
        <f aca="false">ROUNDUP(D13/Premissas!$B$29,0)*Premissas!$B$30</f>
        <v>0</v>
      </c>
      <c r="E28" s="22" t="n">
        <f aca="false">ROUNDUP(E13/Premissas!$B$29,0)*Premissas!$B$30</f>
        <v>0</v>
      </c>
      <c r="F28" s="22" t="n">
        <f aca="false">ROUNDUP(F13/Premissas!$B$29,0)*Premissas!$B$30</f>
        <v>9000</v>
      </c>
      <c r="G28" s="22" t="n">
        <f aca="false">ROUNDUP(G13/Premissas!$B$29,0)*Premissas!$B$30</f>
        <v>9000</v>
      </c>
      <c r="H28" s="22" t="n">
        <f aca="false">ROUNDUP(H13/Premissas!$B$29,0)*Premissas!$B$30</f>
        <v>9000</v>
      </c>
      <c r="I28" s="22" t="n">
        <f aca="false">ROUNDUP(I13/Premissas!$B$29,0)*Premissas!$B$30</f>
        <v>9000</v>
      </c>
      <c r="J28" s="22" t="n">
        <f aca="false">ROUNDUP(J13/Premissas!$B$29,0)*Premissas!$B$30</f>
        <v>9000</v>
      </c>
      <c r="K28" s="22" t="n">
        <f aca="false">ROUNDUP(K13/Premissas!$B$29,0)*Premissas!$B$30</f>
        <v>9000</v>
      </c>
      <c r="L28" s="22" t="n">
        <f aca="false">ROUNDUP(L13/Premissas!$B$29,0)*Premissas!$B$30</f>
        <v>9000</v>
      </c>
      <c r="M28" s="22" t="n">
        <f aca="false">ROUNDUP(M13/Premissas!$B$29,0)*Premissas!$B$30</f>
        <v>9000</v>
      </c>
      <c r="N28" s="22" t="n">
        <f aca="false">ROUNDUP(N13/Premissas!$B$29,0)*Premissas!$B$30</f>
        <v>9000</v>
      </c>
      <c r="O28" s="22" t="n">
        <f aca="false">ROUNDUP(O13/Premissas!$B$29,0)*Premissas!$B$30</f>
        <v>9000</v>
      </c>
      <c r="P28" s="22" t="n">
        <f aca="false">ROUNDUP(P13/Premissas!$B$29,0)*Premissas!$B$30</f>
        <v>9000</v>
      </c>
      <c r="Q28" s="22" t="n">
        <f aca="false">ROUNDUP(Q13/Premissas!$B$29,0)*Premissas!$B$30</f>
        <v>9000</v>
      </c>
      <c r="R28" s="22" t="n">
        <f aca="false">ROUNDUP(R13/Premissas!$B$29,0)*Premissas!$B$30</f>
        <v>9000</v>
      </c>
      <c r="S28" s="22" t="n">
        <f aca="false">ROUNDUP(S13/Premissas!$B$29,0)*Premissas!$B$30</f>
        <v>9000</v>
      </c>
      <c r="T28" s="22" t="n">
        <f aca="false">ROUNDUP(T13/Premissas!$B$29,0)*Premissas!$B$30</f>
        <v>9000</v>
      </c>
      <c r="U28" s="22" t="n">
        <f aca="false">ROUNDUP(U13/Premissas!$B$29,0)*Premissas!$B$30</f>
        <v>9000</v>
      </c>
      <c r="V28" s="22" t="n">
        <f aca="false">ROUNDUP(V13/Premissas!$B$29,0)*Premissas!$B$30</f>
        <v>9000</v>
      </c>
      <c r="W28" s="22" t="n">
        <f aca="false">ROUNDUP(W13/Premissas!$B$29,0)*Premissas!$B$30</f>
        <v>9000</v>
      </c>
      <c r="X28" s="22" t="n">
        <f aca="false">ROUNDUP(X13/Premissas!$B$29,0)*Premissas!$B$30</f>
        <v>9000</v>
      </c>
      <c r="Y28" s="22" t="n">
        <f aca="false">ROUNDUP(Y13/Premissas!$B$29,0)*Premissas!$B$30</f>
        <v>9000</v>
      </c>
      <c r="Z28" s="22" t="n">
        <f aca="false">ROUNDUP(Z13/Premissas!$B$29,0)*Premissas!$B$30</f>
        <v>9000</v>
      </c>
      <c r="AA28" s="22" t="n">
        <f aca="false">ROUNDUP(AA13/Premissas!$B$29,0)*Premissas!$B$30</f>
        <v>9000</v>
      </c>
      <c r="AB28" s="22" t="n">
        <f aca="false">ROUNDUP(AB13/Premissas!$B$29,0)*Premissas!$B$30</f>
        <v>9000</v>
      </c>
      <c r="AC28" s="22" t="n">
        <f aca="false">ROUNDUP(AC13/Premissas!$B$29,0)*Premissas!$B$30</f>
        <v>9000</v>
      </c>
      <c r="AD28" s="22" t="n">
        <f aca="false">ROUNDUP(AD13/Premissas!$B$29,0)*Premissas!$B$30</f>
        <v>9000</v>
      </c>
      <c r="AE28" s="22" t="n">
        <f aca="false">ROUNDUP(AE13/Premissas!$B$29,0)*Premissas!$B$30</f>
        <v>9000</v>
      </c>
      <c r="AF28" s="22" t="n">
        <f aca="false">ROUNDUP(AF13/Premissas!$B$29,0)*Premissas!$B$30</f>
        <v>9000</v>
      </c>
      <c r="AG28" s="22" t="n">
        <f aca="false">ROUNDUP(AG13/Premissas!$B$29,0)*Premissas!$B$30</f>
        <v>9000</v>
      </c>
      <c r="AH28" s="22" t="n">
        <f aca="false">ROUNDUP(AH13/Premissas!$B$29,0)*Premissas!$B$30</f>
        <v>9000</v>
      </c>
      <c r="AI28" s="22" t="n">
        <f aca="false">ROUNDUP(AI13/Premissas!$B$29,0)*Premissas!$B$30</f>
        <v>9000</v>
      </c>
      <c r="AJ28" s="22" t="n">
        <f aca="false">ROUNDUP(AJ13/Premissas!$B$29,0)*Premissas!$B$30</f>
        <v>9000</v>
      </c>
      <c r="AK28" s="22" t="n">
        <f aca="false">ROUNDUP(AK13/Premissas!$B$29,0)*Premissas!$B$30</f>
        <v>9000</v>
      </c>
      <c r="AL28" s="22" t="n">
        <f aca="false">ROUNDUP(AL13/Premissas!$B$29,0)*Premissas!$B$30</f>
        <v>9000</v>
      </c>
      <c r="AM28" s="22" t="n">
        <f aca="false">ROUNDUP(AM13/Premissas!$B$29,0)*Premissas!$B$30</f>
        <v>9000</v>
      </c>
      <c r="AN28" s="22" t="n">
        <f aca="false">ROUNDUP(AN13/Premissas!$B$29,0)*Premissas!$B$30</f>
        <v>9000</v>
      </c>
      <c r="AO28" s="22" t="n">
        <f aca="false">ROUNDUP(AO13/Premissas!$B$29,0)*Premissas!$B$30</f>
        <v>9000</v>
      </c>
      <c r="AP28" s="22" t="n">
        <f aca="false">ROUNDUP(AP13/Premissas!$B$29,0)*Premissas!$B$30</f>
        <v>9000</v>
      </c>
      <c r="AQ28" s="22" t="n">
        <f aca="false">ROUNDUP(AQ13/Premissas!$B$29,0)*Premissas!$B$30</f>
        <v>9000</v>
      </c>
      <c r="AR28" s="22" t="n">
        <f aca="false">ROUNDUP(AR13/Premissas!$B$29,0)*Premissas!$B$30</f>
        <v>9000</v>
      </c>
      <c r="AS28" s="22" t="n">
        <f aca="false">ROUNDUP(AS13/Premissas!$B$29,0)*Premissas!$B$30</f>
        <v>9000</v>
      </c>
      <c r="AT28" s="22" t="n">
        <f aca="false">ROUNDUP(AT13/Premissas!$B$29,0)*Premissas!$B$30</f>
        <v>9000</v>
      </c>
      <c r="AU28" s="22" t="n">
        <f aca="false">ROUNDUP(AU13/Premissas!$B$29,0)*Premissas!$B$30</f>
        <v>9000</v>
      </c>
      <c r="AV28" s="22" t="n">
        <f aca="false">ROUNDUP(AV13/Premissas!$B$29,0)*Premissas!$B$30</f>
        <v>9000</v>
      </c>
      <c r="AW28" s="22" t="n">
        <f aca="false">ROUNDUP(AW13/Premissas!$B$29,0)*Premissas!$B$30</f>
        <v>9000</v>
      </c>
      <c r="AX28" s="22" t="n">
        <f aca="false">ROUNDUP(AX13/Premissas!$B$29,0)*Premissas!$B$30</f>
        <v>9000</v>
      </c>
      <c r="AY28" s="22" t="n">
        <f aca="false">ROUNDUP(AY13/Premissas!$B$29,0)*Premissas!$B$30</f>
        <v>9000</v>
      </c>
      <c r="AZ28" s="22" t="n">
        <f aca="false">ROUNDUP(AZ13/Premissas!$B$29,0)*Premissas!$B$30</f>
        <v>9000</v>
      </c>
      <c r="BA28" s="22" t="n">
        <f aca="false">ROUNDUP(BA13/Premissas!$B$29,0)*Premissas!$B$30</f>
        <v>9000</v>
      </c>
      <c r="BB28" s="22" t="n">
        <f aca="false">ROUNDUP(BB13/Premissas!$B$29,0)*Premissas!$B$30</f>
        <v>9000</v>
      </c>
      <c r="BC28" s="22" t="n">
        <f aca="false">ROUNDUP(BC13/Premissas!$B$29,0)*Premissas!$B$30</f>
        <v>9000</v>
      </c>
      <c r="BD28" s="22" t="n">
        <f aca="false">ROUNDUP(BD13/Premissas!$B$29,0)*Premissas!$B$30</f>
        <v>9000</v>
      </c>
      <c r="BE28" s="22" t="n">
        <f aca="false">ROUNDUP(BE13/Premissas!$B$29,0)*Premissas!$B$30</f>
        <v>9000</v>
      </c>
      <c r="BF28" s="22" t="n">
        <f aca="false">ROUNDUP(BF13/Premissas!$B$29,0)*Premissas!$B$30</f>
        <v>9000</v>
      </c>
      <c r="BG28" s="22" t="n">
        <f aca="false">ROUNDUP(BG13/Premissas!$B$29,0)*Premissas!$B$30</f>
        <v>9000</v>
      </c>
      <c r="BH28" s="22" t="n">
        <f aca="false">ROUNDUP(BH13/Premissas!$B$29,0)*Premissas!$B$30</f>
        <v>9000</v>
      </c>
      <c r="BI28" s="22" t="n">
        <f aca="false">ROUNDUP(BI13/Premissas!$B$29,0)*Premissas!$B$30</f>
        <v>9000</v>
      </c>
      <c r="BJ28" s="22" t="n">
        <f aca="false">ROUNDUP(BJ13/Premissas!$B$29,0)*Premissas!$B$30</f>
        <v>9000</v>
      </c>
      <c r="BK28" s="22" t="n">
        <f aca="false">ROUNDUP(BK13/Premissas!$B$29,0)*Premissas!$B$30</f>
        <v>9000</v>
      </c>
    </row>
    <row r="29" customFormat="false" ht="15" hidden="false" customHeight="false" outlineLevel="0" collapsed="false">
      <c r="A29" s="9" t="s">
        <v>167</v>
      </c>
      <c r="B29" s="19" t="s">
        <v>155</v>
      </c>
      <c r="C29" s="22" t="n">
        <v>0</v>
      </c>
      <c r="D29" s="22" t="n">
        <f aca="false">D6*Premissas!$B$27</f>
        <v>3600</v>
      </c>
      <c r="E29" s="22" t="n">
        <f aca="false">E6*Premissas!$B$27</f>
        <v>3672</v>
      </c>
      <c r="F29" s="22" t="n">
        <f aca="false">F6*Premissas!$B$27</f>
        <v>3745.44</v>
      </c>
      <c r="G29" s="22" t="n">
        <f aca="false">G6*Premissas!$B$27</f>
        <v>3820.3488</v>
      </c>
      <c r="H29" s="22" t="n">
        <f aca="false">H6*Premissas!$B$27</f>
        <v>3896.755776</v>
      </c>
      <c r="I29" s="22" t="n">
        <f aca="false">I6*Premissas!$B$27</f>
        <v>3974.69089152</v>
      </c>
      <c r="J29" s="22" t="n">
        <f aca="false">J6*Premissas!$B$27</f>
        <v>4054.1847093504</v>
      </c>
      <c r="K29" s="22" t="n">
        <f aca="false">K6*Premissas!$B$27</f>
        <v>4135.26840353741</v>
      </c>
      <c r="L29" s="22" t="n">
        <f aca="false">L6*Premissas!$B$27</f>
        <v>4217.97377160816</v>
      </c>
      <c r="M29" s="22" t="n">
        <f aca="false">M6*Premissas!$B$27</f>
        <v>4302.33324704032</v>
      </c>
      <c r="N29" s="22" t="n">
        <f aca="false">N6*Premissas!$B$27</f>
        <v>4388.37991198113</v>
      </c>
      <c r="O29" s="22" t="n">
        <f aca="false">O6*Premissas!$B$27</f>
        <v>4476.14751022075</v>
      </c>
      <c r="P29" s="22" t="n">
        <f aca="false">P6*Premissas!$B$27</f>
        <v>4565.67046042516</v>
      </c>
      <c r="Q29" s="22" t="n">
        <f aca="false">Q6*Premissas!$B$27</f>
        <v>4656.98386963367</v>
      </c>
      <c r="R29" s="22" t="n">
        <f aca="false">R6*Premissas!$B$27</f>
        <v>4750.12354702634</v>
      </c>
      <c r="S29" s="22" t="n">
        <f aca="false">S6*Premissas!$B$27</f>
        <v>4845.12601796687</v>
      </c>
      <c r="T29" s="22" t="n">
        <f aca="false">T6*Premissas!$B$27</f>
        <v>4942.0285383262</v>
      </c>
      <c r="U29" s="22" t="n">
        <f aca="false">U6*Premissas!$B$27</f>
        <v>5040.86910909273</v>
      </c>
      <c r="V29" s="22" t="n">
        <f aca="false">V6*Premissas!$B$27</f>
        <v>5141.68649127458</v>
      </c>
      <c r="W29" s="22" t="n">
        <f aca="false">W6*Premissas!$B$27</f>
        <v>5244.52022110008</v>
      </c>
      <c r="X29" s="22" t="n">
        <f aca="false">X6*Premissas!$B$27</f>
        <v>5349.41062552208</v>
      </c>
      <c r="Y29" s="22" t="n">
        <f aca="false">Y6*Premissas!$B$27</f>
        <v>5456.39883803252</v>
      </c>
      <c r="Z29" s="22" t="n">
        <f aca="false">Z6*Premissas!$B$27</f>
        <v>5565.52681479317</v>
      </c>
      <c r="AA29" s="22" t="n">
        <f aca="false">AA6*Premissas!$B$27</f>
        <v>5676.83735108903</v>
      </c>
      <c r="AB29" s="22" t="n">
        <f aca="false">AB6*Premissas!$B$27</f>
        <v>5790.37409811081</v>
      </c>
      <c r="AC29" s="22" t="n">
        <f aca="false">AC6*Premissas!$B$27</f>
        <v>5906.18158007303</v>
      </c>
      <c r="AD29" s="22" t="n">
        <f aca="false">AD6*Premissas!$B$27</f>
        <v>6024.30521167449</v>
      </c>
      <c r="AE29" s="22" t="n">
        <f aca="false">AE6*Premissas!$B$27</f>
        <v>6144.79131590798</v>
      </c>
      <c r="AF29" s="22" t="n">
        <f aca="false">AF6*Premissas!$B$27</f>
        <v>6267.68714222614</v>
      </c>
      <c r="AG29" s="22" t="n">
        <f aca="false">AG6*Premissas!$B$27</f>
        <v>6393.04088507066</v>
      </c>
      <c r="AH29" s="22" t="n">
        <f aca="false">AH6*Premissas!$B$27</f>
        <v>6520.90170277208</v>
      </c>
      <c r="AI29" s="22" t="n">
        <f aca="false">AI6*Premissas!$B$27</f>
        <v>6651.31973682752</v>
      </c>
      <c r="AJ29" s="22" t="n">
        <f aca="false">AJ6*Premissas!$B$27</f>
        <v>6784.34613156407</v>
      </c>
      <c r="AK29" s="22" t="n">
        <f aca="false">AK6*Premissas!$B$27</f>
        <v>6920.03305419535</v>
      </c>
      <c r="AL29" s="22" t="n">
        <f aca="false">AL6*Premissas!$B$27</f>
        <v>7058.43371527926</v>
      </c>
      <c r="AM29" s="22" t="n">
        <f aca="false">AM6*Premissas!$B$27</f>
        <v>7199.60238958484</v>
      </c>
      <c r="AN29" s="22" t="n">
        <f aca="false">AN6*Premissas!$B$27</f>
        <v>7343.59443737654</v>
      </c>
      <c r="AO29" s="22" t="n">
        <f aca="false">AO6*Premissas!$B$27</f>
        <v>7490.46632612407</v>
      </c>
      <c r="AP29" s="22" t="n">
        <f aca="false">AP6*Premissas!$B$27</f>
        <v>7640.27565264655</v>
      </c>
      <c r="AQ29" s="22" t="n">
        <f aca="false">AQ6*Premissas!$B$27</f>
        <v>7793.08116569948</v>
      </c>
      <c r="AR29" s="22" t="n">
        <f aca="false">AR6*Premissas!$B$27</f>
        <v>7948.94278901347</v>
      </c>
      <c r="AS29" s="22" t="n">
        <f aca="false">AS6*Premissas!$B$27</f>
        <v>8107.92164479374</v>
      </c>
      <c r="AT29" s="22" t="n">
        <f aca="false">AT6*Premissas!$B$27</f>
        <v>8270.08007768962</v>
      </c>
      <c r="AU29" s="22" t="n">
        <f aca="false">AU6*Premissas!$B$27</f>
        <v>8435.48167924341</v>
      </c>
      <c r="AV29" s="22" t="n">
        <f aca="false">AV6*Premissas!$B$27</f>
        <v>8604.19131282828</v>
      </c>
      <c r="AW29" s="22" t="n">
        <f aca="false">AW6*Premissas!$B$27</f>
        <v>8776.27513908484</v>
      </c>
      <c r="AX29" s="22" t="n">
        <f aca="false">AX6*Premissas!$B$27</f>
        <v>8951.80064186654</v>
      </c>
      <c r="AY29" s="22" t="n">
        <f aca="false">AY6*Premissas!$B$27</f>
        <v>9130.83665470387</v>
      </c>
      <c r="AZ29" s="22" t="n">
        <f aca="false">AZ6*Premissas!$B$27</f>
        <v>9313.45338779795</v>
      </c>
      <c r="BA29" s="22" t="n">
        <f aca="false">BA6*Premissas!$B$27</f>
        <v>9499.72245555391</v>
      </c>
      <c r="BB29" s="22" t="n">
        <f aca="false">BB6*Premissas!$B$27</f>
        <v>9689.71690466499</v>
      </c>
      <c r="BC29" s="22" t="n">
        <f aca="false">BC6*Premissas!$B$27</f>
        <v>9883.51124275828</v>
      </c>
      <c r="BD29" s="22" t="n">
        <f aca="false">BD6*Premissas!$B$27</f>
        <v>10081.1814676135</v>
      </c>
      <c r="BE29" s="22" t="n">
        <f aca="false">BE6*Premissas!$B$27</f>
        <v>10282.8050969657</v>
      </c>
      <c r="BF29" s="22" t="n">
        <f aca="false">BF6*Premissas!$B$27</f>
        <v>10488.461198905</v>
      </c>
      <c r="BG29" s="22" t="n">
        <f aca="false">BG6*Premissas!$B$27</f>
        <v>10698.2304228831</v>
      </c>
      <c r="BH29" s="22" t="n">
        <f aca="false">BH6*Premissas!$B$27</f>
        <v>10912.1950313408</v>
      </c>
      <c r="BI29" s="22" t="n">
        <f aca="false">BI6*Premissas!$B$27</f>
        <v>11130.4389319676</v>
      </c>
      <c r="BJ29" s="22" t="n">
        <f aca="false">BJ6*Premissas!$B$27</f>
        <v>11353.047710607</v>
      </c>
      <c r="BK29" s="22" t="n">
        <f aca="false">BK6*Premissas!$B$27</f>
        <v>11580.1086648191</v>
      </c>
    </row>
    <row r="30" customFormat="false" ht="15" hidden="false" customHeight="false" outlineLevel="0" collapsed="false">
      <c r="A30" s="9" t="s">
        <v>168</v>
      </c>
      <c r="B30" s="19" t="s">
        <v>155</v>
      </c>
      <c r="C30" s="22" t="n">
        <v>0</v>
      </c>
      <c r="D30" s="22" t="n">
        <f aca="false">Premissas!$B$31</f>
        <v>2000</v>
      </c>
      <c r="E30" s="22" t="n">
        <f aca="false">Premissas!$B$31</f>
        <v>2000</v>
      </c>
      <c r="F30" s="22" t="n">
        <f aca="false">Premissas!$B$31</f>
        <v>2000</v>
      </c>
      <c r="G30" s="22" t="n">
        <f aca="false">Premissas!$B$31</f>
        <v>2000</v>
      </c>
      <c r="H30" s="22" t="n">
        <f aca="false">Premissas!$B$31</f>
        <v>2000</v>
      </c>
      <c r="I30" s="22" t="n">
        <f aca="false">Premissas!$B$31</f>
        <v>2000</v>
      </c>
      <c r="J30" s="22" t="n">
        <f aca="false">Premissas!$B$31</f>
        <v>2000</v>
      </c>
      <c r="K30" s="22" t="n">
        <f aca="false">Premissas!$B$31</f>
        <v>2000</v>
      </c>
      <c r="L30" s="22" t="n">
        <f aca="false">Premissas!$B$31</f>
        <v>2000</v>
      </c>
      <c r="M30" s="22" t="n">
        <f aca="false">Premissas!$B$31</f>
        <v>2000</v>
      </c>
      <c r="N30" s="22" t="n">
        <f aca="false">Premissas!$B$31</f>
        <v>2000</v>
      </c>
      <c r="O30" s="22" t="n">
        <f aca="false">Premissas!$B$31</f>
        <v>2000</v>
      </c>
      <c r="P30" s="22" t="n">
        <f aca="false">Premissas!$B$31</f>
        <v>2000</v>
      </c>
      <c r="Q30" s="22" t="n">
        <f aca="false">Premissas!$B$31</f>
        <v>2000</v>
      </c>
      <c r="R30" s="22" t="n">
        <f aca="false">Premissas!$B$31</f>
        <v>2000</v>
      </c>
      <c r="S30" s="22" t="n">
        <f aca="false">Premissas!$B$31</f>
        <v>2000</v>
      </c>
      <c r="T30" s="22" t="n">
        <f aca="false">Premissas!$B$31</f>
        <v>2000</v>
      </c>
      <c r="U30" s="22" t="n">
        <f aca="false">Premissas!$B$31</f>
        <v>2000</v>
      </c>
      <c r="V30" s="22" t="n">
        <f aca="false">Premissas!$B$31</f>
        <v>2000</v>
      </c>
      <c r="W30" s="22" t="n">
        <f aca="false">Premissas!$B$31</f>
        <v>2000</v>
      </c>
      <c r="X30" s="22" t="n">
        <f aca="false">Premissas!$B$31</f>
        <v>2000</v>
      </c>
      <c r="Y30" s="22" t="n">
        <f aca="false">Premissas!$B$31</f>
        <v>2000</v>
      </c>
      <c r="Z30" s="22" t="n">
        <f aca="false">Premissas!$B$31</f>
        <v>2000</v>
      </c>
      <c r="AA30" s="22" t="n">
        <f aca="false">Premissas!$B$31</f>
        <v>2000</v>
      </c>
      <c r="AB30" s="22" t="n">
        <f aca="false">Premissas!$B$31</f>
        <v>2000</v>
      </c>
      <c r="AC30" s="22" t="n">
        <f aca="false">Premissas!$B$31</f>
        <v>2000</v>
      </c>
      <c r="AD30" s="22" t="n">
        <f aca="false">Premissas!$B$31</f>
        <v>2000</v>
      </c>
      <c r="AE30" s="22" t="n">
        <f aca="false">Premissas!$B$31</f>
        <v>2000</v>
      </c>
      <c r="AF30" s="22" t="n">
        <f aca="false">Premissas!$B$31</f>
        <v>2000</v>
      </c>
      <c r="AG30" s="22" t="n">
        <f aca="false">Premissas!$B$31</f>
        <v>2000</v>
      </c>
      <c r="AH30" s="22" t="n">
        <f aca="false">Premissas!$B$31</f>
        <v>2000</v>
      </c>
      <c r="AI30" s="22" t="n">
        <f aca="false">Premissas!$B$31</f>
        <v>2000</v>
      </c>
      <c r="AJ30" s="22" t="n">
        <f aca="false">Premissas!$B$31</f>
        <v>2000</v>
      </c>
      <c r="AK30" s="22" t="n">
        <f aca="false">Premissas!$B$31</f>
        <v>2000</v>
      </c>
      <c r="AL30" s="22" t="n">
        <f aca="false">Premissas!$B$31</f>
        <v>2000</v>
      </c>
      <c r="AM30" s="22" t="n">
        <f aca="false">Premissas!$B$31</f>
        <v>2000</v>
      </c>
      <c r="AN30" s="22" t="n">
        <f aca="false">Premissas!$B$31</f>
        <v>2000</v>
      </c>
      <c r="AO30" s="22" t="n">
        <f aca="false">Premissas!$B$31</f>
        <v>2000</v>
      </c>
      <c r="AP30" s="22" t="n">
        <f aca="false">Premissas!$B$31</f>
        <v>2000</v>
      </c>
      <c r="AQ30" s="22" t="n">
        <f aca="false">Premissas!$B$31</f>
        <v>2000</v>
      </c>
      <c r="AR30" s="22" t="n">
        <f aca="false">Premissas!$B$31</f>
        <v>2000</v>
      </c>
      <c r="AS30" s="22" t="n">
        <f aca="false">Premissas!$B$31</f>
        <v>2000</v>
      </c>
      <c r="AT30" s="22" t="n">
        <f aca="false">Premissas!$B$31</f>
        <v>2000</v>
      </c>
      <c r="AU30" s="22" t="n">
        <f aca="false">Premissas!$B$31</f>
        <v>2000</v>
      </c>
      <c r="AV30" s="22" t="n">
        <f aca="false">Premissas!$B$31</f>
        <v>2000</v>
      </c>
      <c r="AW30" s="22" t="n">
        <f aca="false">Premissas!$B$31</f>
        <v>2000</v>
      </c>
      <c r="AX30" s="22" t="n">
        <f aca="false">Premissas!$B$31</f>
        <v>2000</v>
      </c>
      <c r="AY30" s="22" t="n">
        <f aca="false">Premissas!$B$31</f>
        <v>2000</v>
      </c>
      <c r="AZ30" s="22" t="n">
        <f aca="false">Premissas!$B$31</f>
        <v>2000</v>
      </c>
      <c r="BA30" s="22" t="n">
        <f aca="false">Premissas!$B$31</f>
        <v>2000</v>
      </c>
      <c r="BB30" s="22" t="n">
        <f aca="false">Premissas!$B$31</f>
        <v>2000</v>
      </c>
      <c r="BC30" s="22" t="n">
        <f aca="false">Premissas!$B$31</f>
        <v>2000</v>
      </c>
      <c r="BD30" s="22" t="n">
        <f aca="false">Premissas!$B$31</f>
        <v>2000</v>
      </c>
      <c r="BE30" s="22" t="n">
        <f aca="false">Premissas!$B$31</f>
        <v>2000</v>
      </c>
      <c r="BF30" s="22" t="n">
        <f aca="false">Premissas!$B$31</f>
        <v>2000</v>
      </c>
      <c r="BG30" s="22" t="n">
        <f aca="false">Premissas!$B$31</f>
        <v>2000</v>
      </c>
      <c r="BH30" s="22" t="n">
        <f aca="false">Premissas!$B$31</f>
        <v>2000</v>
      </c>
      <c r="BI30" s="22" t="n">
        <f aca="false">Premissas!$B$31</f>
        <v>2000</v>
      </c>
      <c r="BJ30" s="22" t="n">
        <f aca="false">Premissas!$B$31</f>
        <v>2000</v>
      </c>
      <c r="BK30" s="22" t="n">
        <f aca="false">Premissas!$B$31</f>
        <v>2000</v>
      </c>
    </row>
    <row r="31" customFormat="false" ht="15" hidden="false" customHeight="false" outlineLevel="0" collapsed="false">
      <c r="A31" s="9" t="s">
        <v>169</v>
      </c>
      <c r="B31" s="19" t="s">
        <v>155</v>
      </c>
      <c r="C31" s="22" t="n">
        <v>0</v>
      </c>
      <c r="D31" s="22" t="n">
        <f aca="false">D24*Premissas!$B$32</f>
        <v>54.6</v>
      </c>
      <c r="E31" s="22" t="n">
        <f aca="false">E24*Premissas!$B$32</f>
        <v>102.102</v>
      </c>
      <c r="F31" s="22" t="n">
        <f aca="false">F24*Premissas!$B$32</f>
        <v>174.29454</v>
      </c>
      <c r="G31" s="22" t="n">
        <f aca="false">G24*Premissas!$B$32</f>
        <v>239.6721558</v>
      </c>
      <c r="H31" s="22" t="n">
        <f aca="false">H24*Premissas!$B$32</f>
        <v>299.156261166</v>
      </c>
      <c r="I31" s="22" t="n">
        <f aca="false">I24*Premissas!$B$32</f>
        <v>353.54252962182</v>
      </c>
      <c r="J31" s="22" t="n">
        <f aca="false">J24*Premissas!$B$32</f>
        <v>403.518845856281</v>
      </c>
      <c r="K31" s="22" t="n">
        <f aca="false">K24*Premissas!$B$32</f>
        <v>449.680638951976</v>
      </c>
      <c r="L31" s="22" t="n">
        <f aca="false">L24*Premissas!$B$32</f>
        <v>492.54398423502</v>
      </c>
      <c r="M31" s="22" t="n">
        <f aca="false">M24*Premissas!$B$32</f>
        <v>532.556803000166</v>
      </c>
      <c r="N31" s="22" t="n">
        <f aca="false">N24*Premissas!$B$32</f>
        <v>570.108440414428</v>
      </c>
      <c r="O31" s="22" t="n">
        <f aca="false">O24*Premissas!$B$32</f>
        <v>605.537860258845</v>
      </c>
      <c r="P31" s="22" t="n">
        <f aca="false">P24*Premissas!$B$32</f>
        <v>639.140659738939</v>
      </c>
      <c r="Q31" s="22" t="n">
        <f aca="false">Q24*Premissas!$B$32</f>
        <v>671.175077450069</v>
      </c>
      <c r="R31" s="22" t="n">
        <f aca="false">R24*Premissas!$B$32</f>
        <v>701.867141934026</v>
      </c>
      <c r="S31" s="22" t="n">
        <f aca="false">S24*Premissas!$B$32</f>
        <v>731.415086435792</v>
      </c>
      <c r="T31" s="22" t="n">
        <f aca="false">T24*Premissas!$B$32</f>
        <v>759.993136893034</v>
      </c>
      <c r="U31" s="22" t="n">
        <f aca="false">U24*Premissas!$B$32</f>
        <v>787.754764379853</v>
      </c>
      <c r="V31" s="22" t="n">
        <f aca="false">V24*Premissas!$B$32</f>
        <v>814.835479767399</v>
      </c>
      <c r="W31" s="22" t="n">
        <f aca="false">W24*Premissas!$B$32</f>
        <v>841.355236905971</v>
      </c>
      <c r="X31" s="22" t="n">
        <f aca="false">X24*Premissas!$B$32</f>
        <v>867.420500877437</v>
      </c>
      <c r="Y31" s="22" t="n">
        <f aca="false">Y24*Premissas!$B$32</f>
        <v>893.126029559207</v>
      </c>
      <c r="Z31" s="22" t="n">
        <f aca="false">Z24*Premissas!$B$32</f>
        <v>918.556409665587</v>
      </c>
      <c r="AA31" s="22" t="n">
        <f aca="false">AA24*Premissas!$B$32</f>
        <v>943.787382405374</v>
      </c>
      <c r="AB31" s="22" t="n">
        <f aca="false">AB24*Premissas!$B$32</f>
        <v>968.88698875986</v>
      </c>
      <c r="AC31" s="22" t="n">
        <f aca="false">AC24*Premissas!$B$32</f>
        <v>993.916560010003</v>
      </c>
      <c r="AD31" s="22" t="n">
        <f aca="false">AD24*Premissas!$B$32</f>
        <v>1018.93157541247</v>
      </c>
      <c r="AE31" s="22" t="n">
        <f aca="false">AE24*Premissas!$B$32</f>
        <v>1043.98240574532</v>
      </c>
      <c r="AF31" s="22" t="n">
        <f aca="false">AF24*Premissas!$B$32</f>
        <v>1069.1149587336</v>
      </c>
      <c r="AG31" s="22" t="n">
        <f aca="false">AG24*Premissas!$B$32</f>
        <v>1094.37124005331</v>
      </c>
      <c r="AH31" s="22" t="n">
        <f aca="false">AH24*Premissas!$B$32</f>
        <v>1119.78984164011</v>
      </c>
      <c r="AI31" s="22" t="n">
        <f aca="false">AI24*Premissas!$B$32</f>
        <v>1145.40636734624</v>
      </c>
      <c r="AJ31" s="22" t="n">
        <f aca="false">AJ24*Premissas!$B$32</f>
        <v>1171.25380455252</v>
      </c>
      <c r="AK31" s="22" t="n">
        <f aca="false">AK24*Premissas!$B$32</f>
        <v>1197.36284911567</v>
      </c>
      <c r="AL31" s="22" t="n">
        <f aca="false">AL24*Premissas!$B$32</f>
        <v>1223.7621899836</v>
      </c>
      <c r="AM31" s="22" t="n">
        <f aca="false">AM24*Premissas!$B$32</f>
        <v>1250.47875891563</v>
      </c>
      <c r="AN31" s="22" t="n">
        <f aca="false">AN24*Premissas!$B$32</f>
        <v>1277.53794997965</v>
      </c>
      <c r="AO31" s="22" t="n">
        <f aca="false">AO24*Premissas!$B$32</f>
        <v>1304.96381284346</v>
      </c>
      <c r="AP31" s="22" t="n">
        <f aca="false">AP24*Premissas!$B$32</f>
        <v>1332.77922331735</v>
      </c>
      <c r="AQ31" s="22" t="n">
        <f aca="false">AQ24*Premissas!$B$32</f>
        <v>1361.00603412603</v>
      </c>
      <c r="AR31" s="22" t="n">
        <f aca="false">AR24*Premissas!$B$32</f>
        <v>1389.66520847675</v>
      </c>
      <c r="AS31" s="22" t="n">
        <f aca="false">AS24*Premissas!$B$32</f>
        <v>1418.7769386393</v>
      </c>
      <c r="AT31" s="22" t="n">
        <f aca="false">AT24*Premissas!$B$32</f>
        <v>1448.36075145119</v>
      </c>
      <c r="AU31" s="22" t="n">
        <f aca="false">AU24*Premissas!$B$32</f>
        <v>1478.4356024029</v>
      </c>
      <c r="AV31" s="22" t="n">
        <f aca="false">AV24*Premissas!$B$32</f>
        <v>1509.01995973552</v>
      </c>
      <c r="AW31" s="22" t="n">
        <f aca="false">AW24*Premissas!$B$32</f>
        <v>1540.13187979236</v>
      </c>
      <c r="AX31" s="22" t="n">
        <f aca="false">AX24*Premissas!$B$32</f>
        <v>1571.78907470167</v>
      </c>
      <c r="AY31" s="22" t="n">
        <f aca="false">AY24*Premissas!$B$32</f>
        <v>1604.00897332633</v>
      </c>
      <c r="AZ31" s="22" t="n">
        <f aca="false">AZ24*Premissas!$B$32</f>
        <v>1636.80877629494</v>
      </c>
      <c r="BA31" s="22" t="n">
        <f aca="false">BA24*Premissas!$B$32</f>
        <v>1670.20550582338</v>
      </c>
      <c r="BB31" s="22" t="n">
        <f aca="false">BB24*Premissas!$B$32</f>
        <v>1704.21605094572</v>
      </c>
      <c r="BC31" s="22" t="n">
        <f aca="false">BC24*Premissas!$B$32</f>
        <v>1738.85720869504</v>
      </c>
      <c r="BD31" s="22" t="n">
        <f aca="false">BD24*Premissas!$B$32</f>
        <v>1774.14572170716</v>
      </c>
      <c r="BE31" s="22" t="n">
        <f aca="false">BE24*Premissas!$B$32</f>
        <v>1810.09831266178</v>
      </c>
      <c r="BF31" s="22" t="n">
        <f aca="false">BF24*Premissas!$B$32</f>
        <v>1846.73171592476</v>
      </c>
      <c r="BG31" s="22" t="n">
        <f aca="false">BG24*Premissas!$B$32</f>
        <v>1884.06270671151</v>
      </c>
      <c r="BH31" s="22" t="n">
        <f aca="false">BH24*Premissas!$B$32</f>
        <v>1922.10812805292</v>
      </c>
      <c r="BI31" s="22" t="n">
        <f aca="false">BI24*Premissas!$B$32</f>
        <v>1960.88491581251</v>
      </c>
      <c r="BJ31" s="22" t="n">
        <f aca="false">BJ24*Premissas!$B$32</f>
        <v>2000.41012197415</v>
      </c>
      <c r="BK31" s="22" t="n">
        <f aca="false">BK24*Premissas!$B$32</f>
        <v>2040.70093639471</v>
      </c>
    </row>
    <row r="32" customFormat="false" ht="15" hidden="false" customHeight="false" outlineLevel="0" collapsed="false">
      <c r="A32" s="13" t="s">
        <v>170</v>
      </c>
      <c r="B32" s="19" t="s">
        <v>155</v>
      </c>
      <c r="C32" s="23" t="n">
        <v>0</v>
      </c>
      <c r="D32" s="23" t="n">
        <f aca="false">D27+D28+D29+D30+D31</f>
        <v>6734.6</v>
      </c>
      <c r="E32" s="23" t="n">
        <f aca="false">E27+E28+E29+E30+E31</f>
        <v>7793.702</v>
      </c>
      <c r="F32" s="23" t="n">
        <f aca="false">F27+F28+F29+F30+F31</f>
        <v>17760.02654</v>
      </c>
      <c r="G32" s="23" t="n">
        <f aca="false">G27+G28+G29+G30+G31</f>
        <v>18622.6417958</v>
      </c>
      <c r="H32" s="23" t="n">
        <f aca="false">H27+H28+H29+H30+H31</f>
        <v>19397.566403966</v>
      </c>
      <c r="I32" s="23" t="n">
        <f aca="false">I27+I28+I29+I30+I31</f>
        <v>20098.4544539778</v>
      </c>
      <c r="J32" s="23" t="n">
        <f aca="false">J27+J28+J29+J30+J31</f>
        <v>20736.9486149784</v>
      </c>
      <c r="K32" s="23" t="n">
        <f aca="false">K27+K28+K29+K30+K31</f>
        <v>21322.980448027</v>
      </c>
      <c r="L32" s="23" t="n">
        <f aca="false">L27+L28+L29+L30+L31</f>
        <v>21865.025814271</v>
      </c>
      <c r="M32" s="23" t="n">
        <f aca="false">M27+M28+M29+M30+M31</f>
        <v>22370.3221038425</v>
      </c>
      <c r="N32" s="23" t="n">
        <f aca="false">N27+N28+N29+N30+N31</f>
        <v>22845.05300244</v>
      </c>
      <c r="O32" s="23" t="n">
        <f aca="false">O27+O28+O29+O30+O31</f>
        <v>23294.5056558206</v>
      </c>
      <c r="P32" s="23" t="n">
        <f aca="false">P27+P28+P29+P30+P31</f>
        <v>23723.2043641352</v>
      </c>
      <c r="Q32" s="23" t="n">
        <f aca="false">Q27+Q28+Q29+Q30+Q31</f>
        <v>24135.0243189332</v>
      </c>
      <c r="R32" s="23" t="n">
        <f aca="false">R27+R28+R29+R30+R31</f>
        <v>24533.288369369</v>
      </c>
      <c r="S32" s="23" t="n">
        <f aca="false">S27+S28+S29+S30+S31</f>
        <v>24920.8493567405</v>
      </c>
      <c r="T32" s="23" t="n">
        <f aca="false">T27+T28+T29+T30+T31</f>
        <v>25300.1601761545</v>
      </c>
      <c r="U32" s="23" t="n">
        <f aca="false">U27+U28+U29+U30+U31</f>
        <v>25673.3334007843</v>
      </c>
      <c r="V32" s="23" t="n">
        <f aca="false">V27+V28+V29+V30+V31</f>
        <v>26042.1920293164</v>
      </c>
      <c r="W32" s="23" t="n">
        <f aca="false">W27+W28+W29+W30+W31</f>
        <v>26408.3126835114</v>
      </c>
      <c r="X32" s="23" t="n">
        <f aca="false">X27+X28+X29+X30+X31</f>
        <v>26773.0623841451</v>
      </c>
      <c r="Y32" s="23" t="n">
        <f aca="false">Y27+Y28+Y29+Y30+Y31</f>
        <v>27137.6298647114</v>
      </c>
      <c r="Z32" s="23" t="n">
        <f aca="false">Z27+Z28+Z29+Z30+Z31</f>
        <v>27503.0522386838</v>
      </c>
      <c r="AA32" s="23" t="n">
        <f aca="false">AA27+AA28+AA29+AA30+AA31</f>
        <v>27870.237714063</v>
      </c>
      <c r="AB32" s="23" t="n">
        <f aca="false">AB27+AB28+AB29+AB30+AB31</f>
        <v>28239.9849451538</v>
      </c>
      <c r="AC32" s="23" t="n">
        <f aca="false">AC27+AC28+AC29+AC30+AC31</f>
        <v>28612.9995232761</v>
      </c>
      <c r="AD32" s="23" t="n">
        <f aca="false">AD27+AD28+AD29+AD30+AD31</f>
        <v>28989.9080330947</v>
      </c>
      <c r="AE32" s="23" t="n">
        <f aca="false">AE27+AE28+AE29+AE30+AE31</f>
        <v>29371.2700374621</v>
      </c>
      <c r="AF32" s="23" t="n">
        <f aca="false">AF27+AF28+AF29+AF30+AF31</f>
        <v>29757.5882994359</v>
      </c>
      <c r="AG32" s="23" t="n">
        <f aca="false">AG27+AG28+AG29+AG30+AG31</f>
        <v>30149.3175040144</v>
      </c>
      <c r="AH32" s="23" t="n">
        <f aca="false">AH27+AH28+AH29+AH30+AH31</f>
        <v>30546.8717029211</v>
      </c>
      <c r="AI32" s="23" t="n">
        <f aca="false">AI27+AI28+AI29+AI30+AI31</f>
        <v>30950.6306724249</v>
      </c>
      <c r="AJ32" s="23" t="n">
        <f aca="false">AJ27+AJ28+AJ29+AJ30+AJ31</f>
        <v>31360.9453458296</v>
      </c>
      <c r="AK32" s="23" t="n">
        <f aca="false">AK27+AK28+AK29+AK30+AK31</f>
        <v>31778.1424581504</v>
      </c>
      <c r="AL32" s="23" t="n">
        <f aca="false">AL27+AL28+AL29+AL30+AL31</f>
        <v>32202.528519993</v>
      </c>
      <c r="AM32" s="23" t="n">
        <f aca="false">AM27+AM28+AM29+AM30+AM31</f>
        <v>32634.3932202096</v>
      </c>
      <c r="AN32" s="23" t="n">
        <f aca="false">AN27+AN28+AN29+AN30+AN31</f>
        <v>33074.0123420742</v>
      </c>
      <c r="AO32" s="23" t="n">
        <f aca="false">AO27+AO28+AO29+AO30+AO31</f>
        <v>33521.6502651037</v>
      </c>
      <c r="AP32" s="23" t="n">
        <f aca="false">AP27+AP28+AP29+AP30+AP31</f>
        <v>33977.5621139247</v>
      </c>
      <c r="AQ32" s="23" t="n">
        <f aca="false">AQ27+AQ28+AQ29+AQ30+AQ31</f>
        <v>34441.9956064525</v>
      </c>
      <c r="AR32" s="23" t="n">
        <f aca="false">AR27+AR28+AR29+AR30+AR31</f>
        <v>34915.1926458911</v>
      </c>
      <c r="AS32" s="23" t="n">
        <f aca="false">AS27+AS28+AS29+AS30+AS31</f>
        <v>35397.3906944519</v>
      </c>
      <c r="AT32" s="23" t="n">
        <f aca="false">AT27+AT28+AT29+AT30+AT31</f>
        <v>35888.8239610728</v>
      </c>
      <c r="AU32" s="23" t="n">
        <f aca="false">AU27+AU28+AU29+AU30+AU31</f>
        <v>36389.7244306371</v>
      </c>
      <c r="AV32" s="23" t="n">
        <f aca="false">AV27+AV28+AV29+AV30+AV31</f>
        <v>36900.3227581201</v>
      </c>
      <c r="AW32" s="23" t="n">
        <f aca="false">AW27+AW28+AW29+AW30+AW31</f>
        <v>37420.8490476349</v>
      </c>
      <c r="AX32" s="23" t="n">
        <f aca="false">AX27+AX28+AX29+AX30+AX31</f>
        <v>37951.5335333947</v>
      </c>
      <c r="AY32" s="23" t="n">
        <f aca="false">AY27+AY28+AY29+AY30+AY31</f>
        <v>38492.6071771077</v>
      </c>
      <c r="AZ32" s="23" t="n">
        <f aca="false">AZ27+AZ28+AZ29+AZ30+AZ31</f>
        <v>39044.3021941805</v>
      </c>
      <c r="BA32" s="23" t="n">
        <f aca="false">BA27+BA28+BA29+BA30+BA31</f>
        <v>39606.8525192921</v>
      </c>
      <c r="BB32" s="23" t="n">
        <f aca="false">BB27+BB28+BB29+BB30+BB31</f>
        <v>40180.4942203504</v>
      </c>
      <c r="BC32" s="23" t="n">
        <f aca="false">BC27+BC28+BC29+BC30+BC31</f>
        <v>40765.4658685275</v>
      </c>
      <c r="BD32" s="23" t="n">
        <f aca="false">BD27+BD28+BD29+BD30+BD31</f>
        <v>41362.0088709452</v>
      </c>
      <c r="BE32" s="23" t="n">
        <f aca="false">BE27+BE28+BE29+BE30+BE31</f>
        <v>41970.3677716294</v>
      </c>
      <c r="BF32" s="23" t="n">
        <f aca="false">BF27+BF28+BF29+BF30+BF31</f>
        <v>42590.7905255346</v>
      </c>
      <c r="BG32" s="23" t="n">
        <f aca="false">BG27+BG28+BG29+BG30+BG31</f>
        <v>43223.5287497484</v>
      </c>
      <c r="BH32" s="23" t="n">
        <f aca="false">BH27+BH28+BH29+BH30+BH31</f>
        <v>43868.8379553924</v>
      </c>
      <c r="BI32" s="23" t="n">
        <f aca="false">BI27+BI28+BI29+BI30+BI31</f>
        <v>44526.977763233</v>
      </c>
      <c r="BJ32" s="23" t="n">
        <f aca="false">BJ27+BJ28+BJ29+BJ30+BJ31</f>
        <v>45198.2121055872</v>
      </c>
      <c r="BK32" s="23" t="n">
        <f aca="false">BK27+BK28+BK29+BK30+BK31</f>
        <v>45882.8094167384</v>
      </c>
    </row>
    <row r="34" customFormat="false" ht="15" hidden="false" customHeight="false" outlineLevel="0" collapsed="false">
      <c r="A34" s="12" t="s">
        <v>171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</row>
    <row r="35" customFormat="false" ht="15" hidden="false" customHeight="false" outlineLevel="0" collapsed="false">
      <c r="A35" s="13" t="s">
        <v>172</v>
      </c>
      <c r="B35" s="19" t="s">
        <v>155</v>
      </c>
      <c r="C35" s="23" t="n">
        <v>0</v>
      </c>
      <c r="D35" s="23" t="n">
        <f aca="false">D24-D32</f>
        <v>-5954.6</v>
      </c>
      <c r="E35" s="23" t="n">
        <f aca="false">E24-E32</f>
        <v>-6335.102</v>
      </c>
      <c r="F35" s="23" t="n">
        <f aca="false">F24-F32</f>
        <v>-15270.10454</v>
      </c>
      <c r="G35" s="23" t="n">
        <f aca="false">G24-G32</f>
        <v>-15198.7538558</v>
      </c>
      <c r="H35" s="23" t="n">
        <f aca="false">H24-H32</f>
        <v>-15123.905530166</v>
      </c>
      <c r="I35" s="23" t="n">
        <f aca="false">I24-I32</f>
        <v>-15047.8468879518</v>
      </c>
      <c r="J35" s="23" t="n">
        <f aca="false">J24-J32</f>
        <v>-14972.3936741744</v>
      </c>
      <c r="K35" s="23" t="n">
        <f aca="false">K24-K32</f>
        <v>-14898.9713201416</v>
      </c>
      <c r="L35" s="23" t="n">
        <f aca="false">L24-L32</f>
        <v>-14828.6831823421</v>
      </c>
      <c r="M35" s="23" t="n">
        <f aca="false">M24-M32</f>
        <v>-14762.3677752687</v>
      </c>
      <c r="N35" s="23" t="n">
        <f aca="false">N24-N32</f>
        <v>-14700.6467108053</v>
      </c>
      <c r="O35" s="23" t="n">
        <f aca="false">O24-O32</f>
        <v>-14643.9647949799</v>
      </c>
      <c r="P35" s="23" t="n">
        <f aca="false">P24-P32</f>
        <v>-14592.6235107218</v>
      </c>
      <c r="Q35" s="23" t="n">
        <f aca="false">Q24-Q32</f>
        <v>-14546.8089267894</v>
      </c>
      <c r="R35" s="23" t="n">
        <f aca="false">R24-R32</f>
        <v>-14506.6149131686</v>
      </c>
      <c r="S35" s="23" t="n">
        <f aca="false">S24-S32</f>
        <v>-14472.0624076577</v>
      </c>
      <c r="T35" s="23" t="n">
        <f aca="false">T24-T32</f>
        <v>-14443.1153633969</v>
      </c>
      <c r="U35" s="23" t="n">
        <f aca="false">U24-U32</f>
        <v>-14419.6939096435</v>
      </c>
      <c r="V35" s="23" t="n">
        <f aca="false">V24-V32</f>
        <v>-14401.6851754964</v>
      </c>
      <c r="W35" s="23" t="n">
        <f aca="false">W24-W32</f>
        <v>-14388.9521562832</v>
      </c>
      <c r="X35" s="23" t="n">
        <f aca="false">X24-X32</f>
        <v>-14381.3409430389</v>
      </c>
      <c r="Y35" s="23" t="n">
        <f aca="false">Y24-Y32</f>
        <v>-14378.6865852942</v>
      </c>
      <c r="Z35" s="23" t="n">
        <f aca="false">Z24-Z32</f>
        <v>-14380.8178148897</v>
      </c>
      <c r="AA35" s="23" t="n">
        <f aca="false">AA24-AA32</f>
        <v>-14387.5608225577</v>
      </c>
      <c r="AB35" s="23" t="n">
        <f aca="false">AB24-AB32</f>
        <v>-14398.7422485844</v>
      </c>
      <c r="AC35" s="23" t="n">
        <f aca="false">AC24-AC32</f>
        <v>-14414.1915231332</v>
      </c>
      <c r="AD35" s="23" t="n">
        <f aca="false">AD24-AD32</f>
        <v>-14433.7426700594</v>
      </c>
      <c r="AE35" s="23" t="n">
        <f aca="false">AE24-AE32</f>
        <v>-14457.2356696718</v>
      </c>
      <c r="AF35" s="23" t="n">
        <f aca="false">AF24-AF32</f>
        <v>-14484.5174603844</v>
      </c>
      <c r="AG35" s="23" t="n">
        <f aca="false">AG24-AG32</f>
        <v>-14515.44264611</v>
      </c>
      <c r="AH35" s="23" t="n">
        <f aca="false">AH24-AH32</f>
        <v>-14549.8739652052</v>
      </c>
      <c r="AI35" s="23" t="n">
        <f aca="false">AI24-AI32</f>
        <v>-14587.6825674786</v>
      </c>
      <c r="AJ35" s="23" t="n">
        <f aca="false">AJ24-AJ32</f>
        <v>-14628.7481379366</v>
      </c>
      <c r="AK35" s="23" t="n">
        <f aca="false">AK24-AK32</f>
        <v>-14672.9588993551</v>
      </c>
      <c r="AL35" s="23" t="n">
        <f aca="false">AL24-AL32</f>
        <v>-14720.2115202272</v>
      </c>
      <c r="AM35" s="23" t="n">
        <f aca="false">AM24-AM32</f>
        <v>-14770.4109499864</v>
      </c>
      <c r="AN35" s="23" t="n">
        <f aca="false">AN24-AN32</f>
        <v>-14823.4701995077</v>
      </c>
      <c r="AO35" s="23" t="n">
        <f aca="false">AO24-AO32</f>
        <v>-14879.3100816258</v>
      </c>
      <c r="AP35" s="23" t="n">
        <f aca="false">AP24-AP32</f>
        <v>-14937.8589236767</v>
      </c>
      <c r="AQ35" s="23" t="n">
        <f aca="false">AQ24-AQ32</f>
        <v>-14999.0522617949</v>
      </c>
      <c r="AR35" s="23" t="n">
        <f aca="false">AR24-AR32</f>
        <v>-15062.8325247947</v>
      </c>
      <c r="AS35" s="23" t="n">
        <f aca="false">AS24-AS32</f>
        <v>-15129.1487138904</v>
      </c>
      <c r="AT35" s="23" t="n">
        <f aca="false">AT24-AT32</f>
        <v>-15197.9560831987</v>
      </c>
      <c r="AU35" s="23" t="n">
        <f aca="false">AU24-AU32</f>
        <v>-15269.2158248814</v>
      </c>
      <c r="AV35" s="23" t="n">
        <f aca="false">AV24-AV32</f>
        <v>-15342.8947618985</v>
      </c>
      <c r="AW35" s="23" t="n">
        <f aca="false">AW24-AW32</f>
        <v>-15418.9650506011</v>
      </c>
      <c r="AX35" s="23" t="n">
        <f aca="false">AX24-AX32</f>
        <v>-15497.4038947995</v>
      </c>
      <c r="AY35" s="23" t="n">
        <f aca="false">AY24-AY32</f>
        <v>-15578.1932724459</v>
      </c>
      <c r="AZ35" s="23" t="n">
        <f aca="false">AZ24-AZ32</f>
        <v>-15661.3196756814</v>
      </c>
      <c r="BA35" s="23" t="n">
        <f aca="false">BA24-BA32</f>
        <v>-15746.7738646723</v>
      </c>
      <c r="BB35" s="23" t="n">
        <f aca="false">BB24-BB32</f>
        <v>-15834.5506354115</v>
      </c>
      <c r="BC35" s="23" t="n">
        <f aca="false">BC24-BC32</f>
        <v>-15924.6486014556</v>
      </c>
      <c r="BD35" s="23" t="n">
        <f aca="false">BD24-BD32</f>
        <v>-16017.0699894144</v>
      </c>
      <c r="BE35" s="23" t="n">
        <f aca="false">BE24-BE32</f>
        <v>-16111.8204478898</v>
      </c>
      <c r="BF35" s="23" t="n">
        <f aca="false">BF24-BF32</f>
        <v>-16208.9088694666</v>
      </c>
      <c r="BG35" s="23" t="n">
        <f aca="false">BG24-BG32</f>
        <v>-16308.3472252983</v>
      </c>
      <c r="BH35" s="23" t="n">
        <f aca="false">BH24-BH32</f>
        <v>-16410.1504117793</v>
      </c>
      <c r="BI35" s="23" t="n">
        <f aca="false">BI24-BI32</f>
        <v>-16514.3361087686</v>
      </c>
      <c r="BJ35" s="23" t="n">
        <f aca="false">BJ24-BJ32</f>
        <v>-16620.9246488136</v>
      </c>
      <c r="BK35" s="23" t="n">
        <f aca="false">BK24-BK32</f>
        <v>-16729.9388968139</v>
      </c>
    </row>
    <row r="36" customFormat="false" ht="15" hidden="false" customHeight="false" outlineLevel="0" collapsed="false">
      <c r="A36" s="13" t="s">
        <v>173</v>
      </c>
      <c r="B36" s="19" t="s">
        <v>155</v>
      </c>
      <c r="C36" s="23" t="n">
        <f aca="false">Premissas!$B$33</f>
        <v>-21000</v>
      </c>
      <c r="D36" s="23" t="n">
        <f aca="false">C36+D35</f>
        <v>-26954.6</v>
      </c>
      <c r="E36" s="23" t="n">
        <f aca="false">D36+E35</f>
        <v>-33289.702</v>
      </c>
      <c r="F36" s="23" t="n">
        <f aca="false">E36+F35</f>
        <v>-48559.80654</v>
      </c>
      <c r="G36" s="23" t="n">
        <f aca="false">F36+G35</f>
        <v>-63758.5603958</v>
      </c>
      <c r="H36" s="23" t="n">
        <f aca="false">G36+H35</f>
        <v>-78882.465925966</v>
      </c>
      <c r="I36" s="23" t="n">
        <f aca="false">H36+I35</f>
        <v>-93930.3128139178</v>
      </c>
      <c r="J36" s="23" t="n">
        <f aca="false">I36+J35</f>
        <v>-108902.706488092</v>
      </c>
      <c r="K36" s="23" t="n">
        <f aca="false">J36+K35</f>
        <v>-123801.677808234</v>
      </c>
      <c r="L36" s="23" t="n">
        <f aca="false">K36+L35</f>
        <v>-138630.360990576</v>
      </c>
      <c r="M36" s="23" t="n">
        <f aca="false">L36+M35</f>
        <v>-153392.728765845</v>
      </c>
      <c r="N36" s="23" t="n">
        <f aca="false">M36+N35</f>
        <v>-168093.37547665</v>
      </c>
      <c r="O36" s="23" t="n">
        <f aca="false">N36+O35</f>
        <v>-182737.34027163</v>
      </c>
      <c r="P36" s="23" t="n">
        <f aca="false">O36+P35</f>
        <v>-197329.963782352</v>
      </c>
      <c r="Q36" s="23" t="n">
        <f aca="false">P36+Q35</f>
        <v>-211876.772709141</v>
      </c>
      <c r="R36" s="23" t="n">
        <f aca="false">Q36+R35</f>
        <v>-226383.38762231</v>
      </c>
      <c r="S36" s="23" t="n">
        <f aca="false">R36+S35</f>
        <v>-240855.450029967</v>
      </c>
      <c r="T36" s="23" t="n">
        <f aca="false">S36+T35</f>
        <v>-255298.565393364</v>
      </c>
      <c r="U36" s="23" t="n">
        <f aca="false">T36+U35</f>
        <v>-269718.259303008</v>
      </c>
      <c r="V36" s="23" t="n">
        <f aca="false">U36+V35</f>
        <v>-284119.944478504</v>
      </c>
      <c r="W36" s="23" t="n">
        <f aca="false">V36+W35</f>
        <v>-298508.896634787</v>
      </c>
      <c r="X36" s="23" t="n">
        <f aca="false">W36+X35</f>
        <v>-312890.237577826</v>
      </c>
      <c r="Y36" s="23" t="n">
        <f aca="false">X36+Y35</f>
        <v>-327268.92416312</v>
      </c>
      <c r="Z36" s="23" t="n">
        <f aca="false">Y36+Z35</f>
        <v>-341649.74197801</v>
      </c>
      <c r="AA36" s="23" t="n">
        <f aca="false">Z36+AA35</f>
        <v>-356037.302800568</v>
      </c>
      <c r="AB36" s="23" t="n">
        <f aca="false">AA36+AB35</f>
        <v>-370436.045049152</v>
      </c>
      <c r="AC36" s="23" t="n">
        <f aca="false">AB36+AC35</f>
        <v>-384850.236572285</v>
      </c>
      <c r="AD36" s="23" t="n">
        <f aca="false">AC36+AD35</f>
        <v>-399283.979242345</v>
      </c>
      <c r="AE36" s="23" t="n">
        <f aca="false">AD36+AE35</f>
        <v>-413741.214912016</v>
      </c>
      <c r="AF36" s="23" t="n">
        <f aca="false">AE36+AF35</f>
        <v>-428225.732372401</v>
      </c>
      <c r="AG36" s="23" t="n">
        <f aca="false">AF36+AG35</f>
        <v>-442741.175018511</v>
      </c>
      <c r="AH36" s="23" t="n">
        <f aca="false">AG36+AH35</f>
        <v>-457291.048983716</v>
      </c>
      <c r="AI36" s="23" t="n">
        <f aca="false">AH36+AI35</f>
        <v>-471878.731551195</v>
      </c>
      <c r="AJ36" s="23" t="n">
        <f aca="false">AI36+AJ35</f>
        <v>-486507.479689131</v>
      </c>
      <c r="AK36" s="23" t="n">
        <f aca="false">AJ36+AK35</f>
        <v>-501180.438588486</v>
      </c>
      <c r="AL36" s="23" t="n">
        <f aca="false">AK36+AL35</f>
        <v>-515900.650108714</v>
      </c>
      <c r="AM36" s="23" t="n">
        <f aca="false">AL36+AM35</f>
        <v>-530671.0610587</v>
      </c>
      <c r="AN36" s="23" t="n">
        <f aca="false">AM36+AN35</f>
        <v>-545494.531258208</v>
      </c>
      <c r="AO36" s="23" t="n">
        <f aca="false">AN36+AO35</f>
        <v>-560373.841339834</v>
      </c>
      <c r="AP36" s="23" t="n">
        <f aca="false">AO36+AP35</f>
        <v>-575311.70026351</v>
      </c>
      <c r="AQ36" s="23" t="n">
        <f aca="false">AP36+AQ35</f>
        <v>-590310.752525305</v>
      </c>
      <c r="AR36" s="23" t="n">
        <f aca="false">AQ36+AR35</f>
        <v>-605373.5850501</v>
      </c>
      <c r="AS36" s="23" t="n">
        <f aca="false">AR36+AS35</f>
        <v>-620502.73376399</v>
      </c>
      <c r="AT36" s="23" t="n">
        <f aca="false">AS36+AT35</f>
        <v>-635700.689847189</v>
      </c>
      <c r="AU36" s="23" t="n">
        <f aca="false">AT36+AU35</f>
        <v>-650969.90567207</v>
      </c>
      <c r="AV36" s="23" t="n">
        <f aca="false">AU36+AV35</f>
        <v>-666312.800433969</v>
      </c>
      <c r="AW36" s="23" t="n">
        <f aca="false">AV36+AW35</f>
        <v>-681731.76548457</v>
      </c>
      <c r="AX36" s="23" t="n">
        <f aca="false">AW36+AX35</f>
        <v>-697229.169379369</v>
      </c>
      <c r="AY36" s="23" t="n">
        <f aca="false">AX36+AY35</f>
        <v>-712807.362651815</v>
      </c>
      <c r="AZ36" s="23" t="n">
        <f aca="false">AY36+AZ35</f>
        <v>-728468.682327497</v>
      </c>
      <c r="BA36" s="23" t="n">
        <f aca="false">AZ36+BA35</f>
        <v>-744215.456192169</v>
      </c>
      <c r="BB36" s="23" t="n">
        <f aca="false">BA36+BB35</f>
        <v>-760050.00682758</v>
      </c>
      <c r="BC36" s="23" t="n">
        <f aca="false">BB36+BC35</f>
        <v>-775974.655429036</v>
      </c>
      <c r="BD36" s="23" t="n">
        <f aca="false">BC36+BD35</f>
        <v>-791991.72541845</v>
      </c>
      <c r="BE36" s="23" t="n">
        <f aca="false">BD36+BE35</f>
        <v>-808103.54586634</v>
      </c>
      <c r="BF36" s="23" t="n">
        <f aca="false">BE36+BF35</f>
        <v>-824312.454735807</v>
      </c>
      <c r="BG36" s="23" t="n">
        <f aca="false">BF36+BG35</f>
        <v>-840620.801961105</v>
      </c>
      <c r="BH36" s="23" t="n">
        <f aca="false">BG36+BH35</f>
        <v>-857030.952372884</v>
      </c>
      <c r="BI36" s="23" t="n">
        <f aca="false">BH36+BI35</f>
        <v>-873545.288481653</v>
      </c>
      <c r="BJ36" s="23" t="n">
        <f aca="false">BI36+BJ35</f>
        <v>-890166.213130467</v>
      </c>
      <c r="BK36" s="23" t="n">
        <f aca="false">BJ36+BK35</f>
        <v>-906896.152027281</v>
      </c>
    </row>
  </sheetData>
  <mergeCells count="5">
    <mergeCell ref="D3:O3"/>
    <mergeCell ref="P3:AA3"/>
    <mergeCell ref="AB3:AM3"/>
    <mergeCell ref="AN3:AY3"/>
    <mergeCell ref="AZ3:B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174</v>
      </c>
    </row>
    <row r="2" customFormat="false" ht="15" hidden="false" customHeight="false" outlineLevel="0" collapsed="false">
      <c r="A2" s="19" t="s">
        <v>72</v>
      </c>
    </row>
    <row r="3" customFormat="false" ht="26.85" hidden="false" customHeight="true" outlineLevel="0" collapsed="false">
      <c r="A3" s="25" t="s">
        <v>73</v>
      </c>
      <c r="B3" s="25" t="s">
        <v>74</v>
      </c>
      <c r="C3" s="25" t="s">
        <v>75</v>
      </c>
      <c r="D3" s="25" t="s">
        <v>76</v>
      </c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 t="s">
        <v>77</v>
      </c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 t="s">
        <v>78</v>
      </c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 t="s">
        <v>79</v>
      </c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 t="s">
        <v>80</v>
      </c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</row>
    <row r="4" customFormat="false" ht="15" hidden="false" customHeight="false" outlineLevel="0" collapsed="false">
      <c r="A4" s="7" t="s">
        <v>81</v>
      </c>
      <c r="B4" s="21"/>
      <c r="C4" s="21" t="s">
        <v>82</v>
      </c>
      <c r="D4" s="21" t="s">
        <v>83</v>
      </c>
      <c r="E4" s="21" t="s">
        <v>84</v>
      </c>
      <c r="F4" s="21" t="s">
        <v>85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  <c r="P4" s="21" t="s">
        <v>95</v>
      </c>
      <c r="Q4" s="21" t="s">
        <v>96</v>
      </c>
      <c r="R4" s="21" t="s">
        <v>97</v>
      </c>
      <c r="S4" s="21" t="s">
        <v>98</v>
      </c>
      <c r="T4" s="21" t="s">
        <v>99</v>
      </c>
      <c r="U4" s="21" t="s">
        <v>100</v>
      </c>
      <c r="V4" s="21" t="s">
        <v>101</v>
      </c>
      <c r="W4" s="21" t="s">
        <v>102</v>
      </c>
      <c r="X4" s="21" t="s">
        <v>103</v>
      </c>
      <c r="Y4" s="21" t="s">
        <v>104</v>
      </c>
      <c r="Z4" s="21" t="s">
        <v>105</v>
      </c>
      <c r="AA4" s="21" t="s">
        <v>106</v>
      </c>
      <c r="AB4" s="21" t="s">
        <v>107</v>
      </c>
      <c r="AC4" s="21" t="s">
        <v>108</v>
      </c>
      <c r="AD4" s="21" t="s">
        <v>109</v>
      </c>
      <c r="AE4" s="21" t="s">
        <v>110</v>
      </c>
      <c r="AF4" s="21" t="s">
        <v>111</v>
      </c>
      <c r="AG4" s="21" t="s">
        <v>112</v>
      </c>
      <c r="AH4" s="21" t="s">
        <v>113</v>
      </c>
      <c r="AI4" s="21" t="s">
        <v>114</v>
      </c>
      <c r="AJ4" s="21" t="s">
        <v>115</v>
      </c>
      <c r="AK4" s="21" t="s">
        <v>116</v>
      </c>
      <c r="AL4" s="21" t="s">
        <v>117</v>
      </c>
      <c r="AM4" s="21" t="s">
        <v>118</v>
      </c>
      <c r="AN4" s="21" t="s">
        <v>119</v>
      </c>
      <c r="AO4" s="21" t="s">
        <v>120</v>
      </c>
      <c r="AP4" s="21" t="s">
        <v>121</v>
      </c>
      <c r="AQ4" s="21" t="s">
        <v>122</v>
      </c>
      <c r="AR4" s="21" t="s">
        <v>123</v>
      </c>
      <c r="AS4" s="21" t="s">
        <v>124</v>
      </c>
      <c r="AT4" s="21" t="s">
        <v>125</v>
      </c>
      <c r="AU4" s="21" t="s">
        <v>126</v>
      </c>
      <c r="AV4" s="21" t="s">
        <v>127</v>
      </c>
      <c r="AW4" s="21" t="s">
        <v>128</v>
      </c>
      <c r="AX4" s="21" t="s">
        <v>129</v>
      </c>
      <c r="AY4" s="21" t="s">
        <v>130</v>
      </c>
      <c r="AZ4" s="21" t="s">
        <v>131</v>
      </c>
      <c r="BA4" s="21" t="s">
        <v>132</v>
      </c>
      <c r="BB4" s="21" t="s">
        <v>133</v>
      </c>
      <c r="BC4" s="21" t="s">
        <v>134</v>
      </c>
      <c r="BD4" s="21" t="s">
        <v>135</v>
      </c>
      <c r="BE4" s="21" t="s">
        <v>136</v>
      </c>
      <c r="BF4" s="21" t="s">
        <v>137</v>
      </c>
      <c r="BG4" s="21" t="s">
        <v>138</v>
      </c>
      <c r="BH4" s="21" t="s">
        <v>139</v>
      </c>
      <c r="BI4" s="21" t="s">
        <v>140</v>
      </c>
      <c r="BJ4" s="21" t="s">
        <v>141</v>
      </c>
      <c r="BK4" s="21" t="s">
        <v>142</v>
      </c>
    </row>
    <row r="6" customFormat="false" ht="15" hidden="false" customHeight="false" outlineLevel="0" collapsed="false">
      <c r="A6" s="9" t="s">
        <v>143</v>
      </c>
      <c r="B6" s="19" t="s">
        <v>144</v>
      </c>
      <c r="C6" s="22" t="n">
        <v>0</v>
      </c>
      <c r="D6" s="22" t="n">
        <f aca="false">MIN(Premissas!$C$9,Premissas!$C$11)</f>
        <v>80</v>
      </c>
      <c r="E6" s="22" t="n">
        <f aca="false">MIN(D6*(1+Premissas!$C$10),Premissas!$C$11)</f>
        <v>83.6</v>
      </c>
      <c r="F6" s="22" t="n">
        <f aca="false">MIN(E6*(1+Premissas!$C$10),Premissas!$C$11)</f>
        <v>87.362</v>
      </c>
      <c r="G6" s="22" t="n">
        <f aca="false">MIN(F6*(1+Premissas!$C$10),Premissas!$C$11)</f>
        <v>91.29329</v>
      </c>
      <c r="H6" s="22" t="n">
        <f aca="false">MIN(G6*(1+Premissas!$C$10),Premissas!$C$11)</f>
        <v>95.40148805</v>
      </c>
      <c r="I6" s="22" t="n">
        <f aca="false">MIN(H6*(1+Premissas!$C$10),Premissas!$C$11)</f>
        <v>99.69455501225</v>
      </c>
      <c r="J6" s="22" t="n">
        <f aca="false">MIN(I6*(1+Premissas!$C$10),Premissas!$C$11)</f>
        <v>104.180809987801</v>
      </c>
      <c r="K6" s="22" t="n">
        <f aca="false">MIN(J6*(1+Premissas!$C$10),Premissas!$C$11)</f>
        <v>108.868946437252</v>
      </c>
      <c r="L6" s="22" t="n">
        <f aca="false">MIN(K6*(1+Premissas!$C$10),Premissas!$C$11)</f>
        <v>113.768049026929</v>
      </c>
      <c r="M6" s="22" t="n">
        <f aca="false">MIN(L6*(1+Premissas!$C$10),Premissas!$C$11)</f>
        <v>118.88761123314</v>
      </c>
      <c r="N6" s="22" t="n">
        <f aca="false">MIN(M6*(1+Premissas!$C$10),Premissas!$C$11)</f>
        <v>124.237553738632</v>
      </c>
      <c r="O6" s="22" t="n">
        <f aca="false">MIN(N6*(1+Premissas!$C$10),Premissas!$C$11)</f>
        <v>129.82824365687</v>
      </c>
      <c r="P6" s="22" t="n">
        <f aca="false">MIN(O6*(1+Premissas!$C$10),Premissas!$C$11)</f>
        <v>135.670514621429</v>
      </c>
      <c r="Q6" s="22" t="n">
        <f aca="false">MIN(P6*(1+Premissas!$C$10),Premissas!$C$11)</f>
        <v>141.775687779394</v>
      </c>
      <c r="R6" s="22" t="n">
        <f aca="false">MIN(Q6*(1+Premissas!$C$10),Premissas!$C$11)</f>
        <v>148.155593729466</v>
      </c>
      <c r="S6" s="22" t="n">
        <f aca="false">MIN(R6*(1+Premissas!$C$10),Premissas!$C$11)</f>
        <v>154.822595447292</v>
      </c>
      <c r="T6" s="22" t="n">
        <f aca="false">MIN(S6*(1+Premissas!$C$10),Premissas!$C$11)</f>
        <v>161.78961224242</v>
      </c>
      <c r="U6" s="22" t="n">
        <f aca="false">MIN(T6*(1+Premissas!$C$10),Premissas!$C$11)</f>
        <v>169.070144793329</v>
      </c>
      <c r="V6" s="22" t="n">
        <f aca="false">MIN(U6*(1+Premissas!$C$10),Premissas!$C$11)</f>
        <v>176.678301309029</v>
      </c>
      <c r="W6" s="22" t="n">
        <f aca="false">MIN(V6*(1+Premissas!$C$10),Premissas!$C$11)</f>
        <v>184.628824867935</v>
      </c>
      <c r="X6" s="22" t="n">
        <f aca="false">MIN(W6*(1+Premissas!$C$10),Premissas!$C$11)</f>
        <v>192.937121986992</v>
      </c>
      <c r="Y6" s="22" t="n">
        <f aca="false">MIN(X6*(1+Premissas!$C$10),Premissas!$C$11)</f>
        <v>201.619292476407</v>
      </c>
      <c r="Z6" s="22" t="n">
        <f aca="false">MIN(Y6*(1+Premissas!$C$10),Premissas!$C$11)</f>
        <v>210.692160637845</v>
      </c>
      <c r="AA6" s="22" t="n">
        <f aca="false">MIN(Z6*(1+Premissas!$C$10),Premissas!$C$11)</f>
        <v>220.173307866548</v>
      </c>
      <c r="AB6" s="22" t="n">
        <f aca="false">MIN(AA6*(1+Premissas!$C$10),Premissas!$C$11)</f>
        <v>230.081106720543</v>
      </c>
      <c r="AC6" s="22" t="n">
        <f aca="false">MIN(AB6*(1+Premissas!$C$10),Premissas!$C$11)</f>
        <v>240.434756522968</v>
      </c>
      <c r="AD6" s="22" t="n">
        <f aca="false">MIN(AC6*(1+Premissas!$C$10),Premissas!$C$11)</f>
        <v>251.254320566501</v>
      </c>
      <c r="AE6" s="22" t="n">
        <f aca="false">MIN(AD6*(1+Premissas!$C$10),Premissas!$C$11)</f>
        <v>262.560764991994</v>
      </c>
      <c r="AF6" s="22" t="n">
        <f aca="false">MIN(AE6*(1+Premissas!$C$10),Premissas!$C$11)</f>
        <v>274.375999416633</v>
      </c>
      <c r="AG6" s="22" t="n">
        <f aca="false">MIN(AF6*(1+Premissas!$C$10),Premissas!$C$11)</f>
        <v>286.722919390382</v>
      </c>
      <c r="AH6" s="22" t="n">
        <f aca="false">MIN(AG6*(1+Premissas!$C$10),Premissas!$C$11)</f>
        <v>299.625450762949</v>
      </c>
      <c r="AI6" s="22" t="n">
        <f aca="false">MIN(AH6*(1+Premissas!$C$10),Premissas!$C$11)</f>
        <v>313.108596047282</v>
      </c>
      <c r="AJ6" s="22" t="n">
        <f aca="false">MIN(AI6*(1+Premissas!$C$10),Premissas!$C$11)</f>
        <v>327.198482869409</v>
      </c>
      <c r="AK6" s="22" t="n">
        <f aca="false">MIN(AJ6*(1+Premissas!$C$10),Premissas!$C$11)</f>
        <v>341.922414598533</v>
      </c>
      <c r="AL6" s="22" t="n">
        <f aca="false">MIN(AK6*(1+Premissas!$C$10),Premissas!$C$11)</f>
        <v>357.308923255467</v>
      </c>
      <c r="AM6" s="22" t="n">
        <f aca="false">MIN(AL6*(1+Premissas!$C$10),Premissas!$C$11)</f>
        <v>373.387824801963</v>
      </c>
      <c r="AN6" s="22" t="n">
        <f aca="false">MIN(AM6*(1+Premissas!$C$10),Premissas!$C$11)</f>
        <v>390.190276918051</v>
      </c>
      <c r="AO6" s="22" t="n">
        <f aca="false">MIN(AN6*(1+Premissas!$C$10),Premissas!$C$11)</f>
        <v>407.748839379363</v>
      </c>
      <c r="AP6" s="22" t="n">
        <f aca="false">MIN(AO6*(1+Premissas!$C$10),Premissas!$C$11)</f>
        <v>426.097537151435</v>
      </c>
      <c r="AQ6" s="22" t="n">
        <f aca="false">MIN(AP6*(1+Premissas!$C$10),Premissas!$C$11)</f>
        <v>445.271926323249</v>
      </c>
      <c r="AR6" s="22" t="n">
        <f aca="false">MIN(AQ6*(1+Premissas!$C$10),Premissas!$C$11)</f>
        <v>465.309163007795</v>
      </c>
      <c r="AS6" s="22" t="n">
        <f aca="false">MIN(AR6*(1+Premissas!$C$10),Premissas!$C$11)</f>
        <v>486.248075343146</v>
      </c>
      <c r="AT6" s="22" t="n">
        <f aca="false">MIN(AS6*(1+Premissas!$C$10),Premissas!$C$11)</f>
        <v>508.129238733588</v>
      </c>
      <c r="AU6" s="22" t="n">
        <f aca="false">MIN(AT6*(1+Premissas!$C$10),Premissas!$C$11)</f>
        <v>530.995054476599</v>
      </c>
      <c r="AV6" s="22" t="n">
        <f aca="false">MIN(AU6*(1+Premissas!$C$10),Premissas!$C$11)</f>
        <v>554.889831928046</v>
      </c>
      <c r="AW6" s="22" t="n">
        <f aca="false">MIN(AV6*(1+Premissas!$C$10),Premissas!$C$11)</f>
        <v>579.859874364808</v>
      </c>
      <c r="AX6" s="22" t="n">
        <f aca="false">MIN(AW6*(1+Premissas!$C$10),Premissas!$C$11)</f>
        <v>605.953568711224</v>
      </c>
      <c r="AY6" s="22" t="n">
        <f aca="false">MIN(AX6*(1+Premissas!$C$10),Premissas!$C$11)</f>
        <v>633.221479303229</v>
      </c>
      <c r="AZ6" s="22" t="n">
        <f aca="false">MIN(AY6*(1+Premissas!$C$10),Premissas!$C$11)</f>
        <v>661.716445871875</v>
      </c>
      <c r="BA6" s="22" t="n">
        <f aca="false">MIN(AZ6*(1+Premissas!$C$10),Premissas!$C$11)</f>
        <v>691.493685936109</v>
      </c>
      <c r="BB6" s="22" t="n">
        <f aca="false">MIN(BA6*(1+Premissas!$C$10),Premissas!$C$11)</f>
        <v>722.610901803234</v>
      </c>
      <c r="BC6" s="22" t="n">
        <f aca="false">MIN(BB6*(1+Premissas!$C$10),Premissas!$C$11)</f>
        <v>755.128392384379</v>
      </c>
      <c r="BD6" s="22" t="n">
        <f aca="false">MIN(BC6*(1+Premissas!$C$10),Premissas!$C$11)</f>
        <v>789.109170041676</v>
      </c>
      <c r="BE6" s="22" t="n">
        <f aca="false">MIN(BD6*(1+Premissas!$C$10),Premissas!$C$11)</f>
        <v>824.619082693552</v>
      </c>
      <c r="BF6" s="22" t="n">
        <f aca="false">MIN(BE6*(1+Premissas!$C$10),Premissas!$C$11)</f>
        <v>861.726941414761</v>
      </c>
      <c r="BG6" s="22" t="n">
        <f aca="false">MIN(BF6*(1+Premissas!$C$10),Premissas!$C$11)</f>
        <v>900</v>
      </c>
      <c r="BH6" s="22" t="n">
        <f aca="false">MIN(BG6*(1+Premissas!$C$10),Premissas!$C$11)</f>
        <v>900</v>
      </c>
      <c r="BI6" s="22" t="n">
        <f aca="false">MIN(BH6*(1+Premissas!$C$10),Premissas!$C$11)</f>
        <v>900</v>
      </c>
      <c r="BJ6" s="22" t="n">
        <f aca="false">MIN(BI6*(1+Premissas!$C$10),Premissas!$C$11)</f>
        <v>900</v>
      </c>
      <c r="BK6" s="22" t="n">
        <f aca="false">MIN(BJ6*(1+Premissas!$C$10),Premissas!$C$11)</f>
        <v>900</v>
      </c>
    </row>
    <row r="7" customFormat="false" ht="15" hidden="false" customHeight="false" outlineLevel="0" collapsed="false">
      <c r="A7" s="9" t="s">
        <v>145</v>
      </c>
      <c r="B7" s="19" t="s">
        <v>144</v>
      </c>
      <c r="C7" s="22" t="n">
        <v>0</v>
      </c>
      <c r="D7" s="22" t="n">
        <v>0</v>
      </c>
      <c r="E7" s="22" t="n">
        <f aca="false">C6*Premissas!$C$12</f>
        <v>0</v>
      </c>
      <c r="F7" s="22" t="n">
        <f aca="false">D6*Premissas!$C$12</f>
        <v>6.4</v>
      </c>
      <c r="G7" s="22" t="n">
        <f aca="false">E6*Premissas!$C$12</f>
        <v>6.688</v>
      </c>
      <c r="H7" s="22" t="n">
        <f aca="false">F6*Premissas!$C$12</f>
        <v>6.98896</v>
      </c>
      <c r="I7" s="22" t="n">
        <f aca="false">G6*Premissas!$C$12</f>
        <v>7.3034632</v>
      </c>
      <c r="J7" s="22" t="n">
        <f aca="false">H6*Premissas!$C$12</f>
        <v>7.632119044</v>
      </c>
      <c r="K7" s="22" t="n">
        <f aca="false">I6*Premissas!$C$12</f>
        <v>7.97556440098</v>
      </c>
      <c r="L7" s="22" t="n">
        <f aca="false">J6*Premissas!$C$12</f>
        <v>8.3344647990241</v>
      </c>
      <c r="M7" s="22" t="n">
        <f aca="false">K6*Premissas!$C$12</f>
        <v>8.70951571498018</v>
      </c>
      <c r="N7" s="22" t="n">
        <f aca="false">L6*Premissas!$C$12</f>
        <v>9.10144392215429</v>
      </c>
      <c r="O7" s="22" t="n">
        <f aca="false">M6*Premissas!$C$12</f>
        <v>9.51100889865123</v>
      </c>
      <c r="P7" s="22" t="n">
        <f aca="false">N6*Premissas!$C$12</f>
        <v>9.93900429909054</v>
      </c>
      <c r="Q7" s="22" t="n">
        <f aca="false">O6*Premissas!$C$12</f>
        <v>10.3862594925496</v>
      </c>
      <c r="R7" s="22" t="n">
        <f aca="false">P6*Premissas!$C$12</f>
        <v>10.8536411697143</v>
      </c>
      <c r="S7" s="22" t="n">
        <f aca="false">Q6*Premissas!$C$12</f>
        <v>11.3420550223515</v>
      </c>
      <c r="T7" s="22" t="n">
        <f aca="false">R6*Premissas!$C$12</f>
        <v>11.8524474983573</v>
      </c>
      <c r="U7" s="22" t="n">
        <f aca="false">S6*Premissas!$C$12</f>
        <v>12.3858076357834</v>
      </c>
      <c r="V7" s="22" t="n">
        <f aca="false">T6*Premissas!$C$12</f>
        <v>12.9431689793936</v>
      </c>
      <c r="W7" s="22" t="n">
        <f aca="false">U6*Premissas!$C$12</f>
        <v>13.5256115834663</v>
      </c>
      <c r="X7" s="22" t="n">
        <f aca="false">V6*Premissas!$C$12</f>
        <v>14.1342641047223</v>
      </c>
      <c r="Y7" s="22" t="n">
        <f aca="false">W6*Premissas!$C$12</f>
        <v>14.7703059894348</v>
      </c>
      <c r="Z7" s="22" t="n">
        <f aca="false">X6*Premissas!$C$12</f>
        <v>15.4349697589594</v>
      </c>
      <c r="AA7" s="22" t="n">
        <f aca="false">Y6*Premissas!$C$12</f>
        <v>16.1295433981126</v>
      </c>
      <c r="AB7" s="22" t="n">
        <f aca="false">Z6*Premissas!$C$12</f>
        <v>16.8553728510276</v>
      </c>
      <c r="AC7" s="22" t="n">
        <f aca="false">AA6*Premissas!$C$12</f>
        <v>17.6138646293239</v>
      </c>
      <c r="AD7" s="22" t="n">
        <f aca="false">AB6*Premissas!$C$12</f>
        <v>18.4064885376435</v>
      </c>
      <c r="AE7" s="22" t="n">
        <f aca="false">AC6*Premissas!$C$12</f>
        <v>19.2347805218374</v>
      </c>
      <c r="AF7" s="22" t="n">
        <f aca="false">AD6*Premissas!$C$12</f>
        <v>20.1003456453201</v>
      </c>
      <c r="AG7" s="22" t="n">
        <f aca="false">AE6*Premissas!$C$12</f>
        <v>21.0048611993595</v>
      </c>
      <c r="AH7" s="22" t="n">
        <f aca="false">AF6*Premissas!$C$12</f>
        <v>21.9500799533307</v>
      </c>
      <c r="AI7" s="22" t="n">
        <f aca="false">AG6*Premissas!$C$12</f>
        <v>22.9378335512305</v>
      </c>
      <c r="AJ7" s="22" t="n">
        <f aca="false">AH6*Premissas!$C$12</f>
        <v>23.9700360610359</v>
      </c>
      <c r="AK7" s="22" t="n">
        <f aca="false">AI6*Premissas!$C$12</f>
        <v>25.0486876837825</v>
      </c>
      <c r="AL7" s="22" t="n">
        <f aca="false">AJ6*Premissas!$C$12</f>
        <v>26.1758786295527</v>
      </c>
      <c r="AM7" s="22" t="n">
        <f aca="false">AK6*Premissas!$C$12</f>
        <v>27.3537931678826</v>
      </c>
      <c r="AN7" s="22" t="n">
        <f aca="false">AL6*Premissas!$C$12</f>
        <v>28.5847138604373</v>
      </c>
      <c r="AO7" s="22" t="n">
        <f aca="false">AM6*Premissas!$C$12</f>
        <v>29.871025984157</v>
      </c>
      <c r="AP7" s="22" t="n">
        <f aca="false">AN6*Premissas!$C$12</f>
        <v>31.2152221534441</v>
      </c>
      <c r="AQ7" s="22" t="n">
        <f aca="false">AO6*Premissas!$C$12</f>
        <v>32.6199071503491</v>
      </c>
      <c r="AR7" s="22" t="n">
        <f aca="false">AP6*Premissas!$C$12</f>
        <v>34.0878029721148</v>
      </c>
      <c r="AS7" s="22" t="n">
        <f aca="false">AQ6*Premissas!$C$12</f>
        <v>35.6217541058599</v>
      </c>
      <c r="AT7" s="22" t="n">
        <f aca="false">AR6*Premissas!$C$12</f>
        <v>37.2247330406236</v>
      </c>
      <c r="AU7" s="22" t="n">
        <f aca="false">AS6*Premissas!$C$12</f>
        <v>38.8998460274517</v>
      </c>
      <c r="AV7" s="22" t="n">
        <f aca="false">AT6*Premissas!$C$12</f>
        <v>40.650339098687</v>
      </c>
      <c r="AW7" s="22" t="n">
        <f aca="false">AU6*Premissas!$C$12</f>
        <v>42.4796043581279</v>
      </c>
      <c r="AX7" s="22" t="n">
        <f aca="false">AV6*Premissas!$C$12</f>
        <v>44.3911865542437</v>
      </c>
      <c r="AY7" s="22" t="n">
        <f aca="false">AW6*Premissas!$C$12</f>
        <v>46.3887899491846</v>
      </c>
      <c r="AZ7" s="22" t="n">
        <f aca="false">AX6*Premissas!$C$12</f>
        <v>48.4762854968979</v>
      </c>
      <c r="BA7" s="22" t="n">
        <f aca="false">AY6*Premissas!$C$12</f>
        <v>50.6577183442583</v>
      </c>
      <c r="BB7" s="22" t="n">
        <f aca="false">AZ6*Premissas!$C$12</f>
        <v>52.93731566975</v>
      </c>
      <c r="BC7" s="22" t="n">
        <f aca="false">BA6*Premissas!$C$12</f>
        <v>55.3194948748887</v>
      </c>
      <c r="BD7" s="22" t="n">
        <f aca="false">BB6*Premissas!$C$12</f>
        <v>57.8088721442587</v>
      </c>
      <c r="BE7" s="22" t="n">
        <f aca="false">BC6*Premissas!$C$12</f>
        <v>60.4102713907503</v>
      </c>
      <c r="BF7" s="22" t="n">
        <f aca="false">BD6*Premissas!$C$12</f>
        <v>63.1287336033341</v>
      </c>
      <c r="BG7" s="22" t="n">
        <f aca="false">BE6*Premissas!$C$12</f>
        <v>65.9695266154841</v>
      </c>
      <c r="BH7" s="22" t="n">
        <f aca="false">BF6*Premissas!$C$12</f>
        <v>68.9381553131809</v>
      </c>
      <c r="BI7" s="22" t="n">
        <f aca="false">BG6*Premissas!$C$12</f>
        <v>72</v>
      </c>
      <c r="BJ7" s="22" t="n">
        <f aca="false">BH6*Premissas!$C$12</f>
        <v>72</v>
      </c>
      <c r="BK7" s="22" t="n">
        <f aca="false">BI6*Premissas!$C$12</f>
        <v>72</v>
      </c>
    </row>
    <row r="8" customFormat="false" ht="15" hidden="false" customHeight="false" outlineLevel="0" collapsed="false">
      <c r="A8" s="9" t="s">
        <v>146</v>
      </c>
      <c r="B8" s="19" t="s">
        <v>144</v>
      </c>
      <c r="C8" s="22" t="n">
        <v>0</v>
      </c>
      <c r="D8" s="22" t="n">
        <f aca="false">C8*(1-Premissas!$C$14)+D6-D7</f>
        <v>80</v>
      </c>
      <c r="E8" s="22" t="n">
        <f aca="false">D8*(1-Premissas!$C$14)+E6-E7</f>
        <v>154</v>
      </c>
      <c r="F8" s="22" t="n">
        <f aca="false">E8*(1-Premissas!$C$14)+F6-F7</f>
        <v>216.482</v>
      </c>
      <c r="G8" s="22" t="n">
        <f aca="false">F8*(1-Premissas!$C$14)+G6-G7</f>
        <v>275.10945</v>
      </c>
      <c r="H8" s="22" t="n">
        <f aca="false">G8*(1-Premissas!$C$14)+H6-H7</f>
        <v>330.50884405</v>
      </c>
      <c r="I8" s="22" t="n">
        <f aca="false">H8*(1-Premissas!$C$14)+I6-I7</f>
        <v>383.23887457625</v>
      </c>
      <c r="J8" s="22" t="n">
        <f aca="false">I8*(1-Premissas!$C$14)+J6-J7</f>
        <v>433.798900570901</v>
      </c>
      <c r="K8" s="22" t="n">
        <f aca="false">J8*(1-Premissas!$C$14)+K6-K7</f>
        <v>482.636414538665</v>
      </c>
      <c r="L8" s="22" t="n">
        <f aca="false">K8*(1-Premissas!$C$14)+L6-L7</f>
        <v>530.15362902193</v>
      </c>
      <c r="M8" s="22" t="n">
        <f aca="false">L8*(1-Premissas!$C$14)+M6-M7</f>
        <v>576.713289057459</v>
      </c>
      <c r="N8" s="22" t="n">
        <f aca="false">M8*(1-Premissas!$C$14)+N6-N7</f>
        <v>622.643804187041</v>
      </c>
      <c r="O8" s="22" t="n">
        <f aca="false">N8*(1-Premissas!$C$14)+O6-O7</f>
        <v>668.243782442815</v>
      </c>
      <c r="P8" s="22" t="n">
        <f aca="false">O8*(1-Premissas!$C$14)+P6-P7</f>
        <v>713.786038872016</v>
      </c>
      <c r="Q8" s="22" t="n">
        <f aca="false">P8*(1-Premissas!$C$14)+Q6-Q7</f>
        <v>759.521142494218</v>
      </c>
      <c r="R8" s="22" t="n">
        <f aca="false">Q8*(1-Premissas!$C$14)+R6-R7</f>
        <v>805.680557954664</v>
      </c>
      <c r="S8" s="22" t="n">
        <f aca="false">R8*(1-Premissas!$C$14)+S6-S7</f>
        <v>852.479431425045</v>
      </c>
      <c r="T8" s="22" t="n">
        <f aca="false">S8*(1-Premissas!$C$14)+T6-T7</f>
        <v>900.119064398103</v>
      </c>
      <c r="U8" s="22" t="n">
        <f aca="false">T8*(1-Premissas!$C$14)+U6-U7</f>
        <v>948.789113827876</v>
      </c>
      <c r="V8" s="22" t="n">
        <f aca="false">U8*(1-Premissas!$C$14)+V6-V7</f>
        <v>998.669552498167</v>
      </c>
      <c r="W8" s="22" t="n">
        <f aca="false">V8*(1-Premissas!$C$14)+W6-W7</f>
        <v>1049.93241948286</v>
      </c>
      <c r="X8" s="22" t="n">
        <f aca="false">W8*(1-Premissas!$C$14)+X6-X7</f>
        <v>1102.74338702718</v>
      </c>
      <c r="Y8" s="22" t="n">
        <f aca="false">X8*(1-Premissas!$C$14)+Y6-Y7</f>
        <v>1157.26316707089</v>
      </c>
      <c r="Z8" s="22" t="n">
        <f aca="false">Y8*(1-Premissas!$C$14)+Z6-Z7</f>
        <v>1213.64877790127</v>
      </c>
      <c r="AA8" s="22" t="n">
        <f aca="false">Z8*(1-Premissas!$C$14)+AA6-AA7</f>
        <v>1272.05468902156</v>
      </c>
      <c r="AB8" s="22" t="n">
        <f aca="false">AA8*(1-Premissas!$C$14)+AB6-AB7</f>
        <v>1332.63386020848</v>
      </c>
      <c r="AC8" s="22" t="n">
        <f aca="false">AB8*(1-Premissas!$C$14)+AC6-AC7</f>
        <v>1395.53868887711</v>
      </c>
      <c r="AD8" s="22" t="n">
        <f aca="false">AC8*(1-Premissas!$C$14)+AD6-AD7</f>
        <v>1460.92187824071</v>
      </c>
      <c r="AE8" s="22" t="n">
        <f aca="false">AD8*(1-Premissas!$C$14)+AE6-AE7</f>
        <v>1528.93723732198</v>
      </c>
      <c r="AF8" s="22" t="n">
        <f aca="false">AE8*(1-Premissas!$C$14)+AF6-AF7</f>
        <v>1599.74042261466</v>
      </c>
      <c r="AG8" s="22" t="n">
        <f aca="false">AF8*(1-Premissas!$C$14)+AG6-AG7</f>
        <v>1673.48963009192</v>
      </c>
      <c r="AH8" s="22" t="n">
        <f aca="false">AG8*(1-Premissas!$C$14)+AH6-AH7</f>
        <v>1750.34624529051</v>
      </c>
      <c r="AI8" s="22" t="n">
        <f aca="false">AH8*(1-Premissas!$C$14)+AI6-AI7</f>
        <v>1830.4754583517</v>
      </c>
      <c r="AJ8" s="22" t="n">
        <f aca="false">AI8*(1-Premissas!$C$14)+AJ6-AJ7</f>
        <v>1914.04685015787</v>
      </c>
      <c r="AK8" s="22" t="n">
        <f aca="false">AJ8*(1-Premissas!$C$14)+AK6-AK7</f>
        <v>2001.23495505368</v>
      </c>
      <c r="AL8" s="22" t="n">
        <f aca="false">AK8*(1-Premissas!$C$14)+AL6-AL7</f>
        <v>2092.21980507315</v>
      </c>
      <c r="AM8" s="22" t="n">
        <f aca="false">AL8*(1-Premissas!$C$14)+AM6-AM7</f>
        <v>2187.18746009845</v>
      </c>
      <c r="AN8" s="22" t="n">
        <f aca="false">AM8*(1-Premissas!$C$14)+AN6-AN7</f>
        <v>2286.33052794425</v>
      </c>
      <c r="AO8" s="22" t="n">
        <f aca="false">AN8*(1-Premissas!$C$14)+AO6-AO7</f>
        <v>2389.84867798615</v>
      </c>
      <c r="AP8" s="22" t="n">
        <f aca="false">AO8*(1-Premissas!$C$14)+AP6-AP7</f>
        <v>2497.9491516258</v>
      </c>
      <c r="AQ8" s="22" t="n">
        <f aca="false">AP8*(1-Premissas!$C$14)+AQ6-AQ7</f>
        <v>2610.8472726036</v>
      </c>
      <c r="AR8" s="22" t="n">
        <f aca="false">AQ8*(1-Premissas!$C$14)+AR6-AR7</f>
        <v>2728.76695992685</v>
      </c>
      <c r="AS8" s="22" t="n">
        <f aca="false">AR8*(1-Premissas!$C$14)+AS6-AS7</f>
        <v>2851.94124597292</v>
      </c>
      <c r="AT8" s="22" t="n">
        <f aca="false">AS8*(1-Premissas!$C$14)+AT6-AT7</f>
        <v>2980.61280214913</v>
      </c>
      <c r="AU8" s="22" t="n">
        <f aca="false">AT8*(1-Premissas!$C$14)+AU6-AU7</f>
        <v>3115.03447434038</v>
      </c>
      <c r="AV8" s="22" t="n">
        <f aca="false">AU8*(1-Premissas!$C$14)+AV6-AV7</f>
        <v>3255.46983024889</v>
      </c>
      <c r="AW8" s="22" t="n">
        <f aca="false">AV8*(1-Premissas!$C$14)+AW6-AW7</f>
        <v>3402.19372062571</v>
      </c>
      <c r="AX8" s="22" t="n">
        <f aca="false">AW8*(1-Premissas!$C$14)+AX6-AX7</f>
        <v>3555.4928563076</v>
      </c>
      <c r="AY8" s="22" t="n">
        <f aca="false">AX8*(1-Premissas!$C$14)+AY6-AY7</f>
        <v>3715.66640290474</v>
      </c>
      <c r="AZ8" s="22" t="n">
        <f aca="false">AY8*(1-Premissas!$C$14)+AZ6-AZ7</f>
        <v>3883.02659493114</v>
      </c>
      <c r="BA8" s="22" t="n">
        <f aca="false">AZ8*(1-Premissas!$C$14)+BA6-BA7</f>
        <v>4057.89937113126</v>
      </c>
      <c r="BB8" s="22" t="n">
        <f aca="false">BA8*(1-Premissas!$C$14)+BB6-BB7</f>
        <v>4240.62503272899</v>
      </c>
      <c r="BC8" s="22" t="n">
        <f aca="false">BB8*(1-Premissas!$C$14)+BC6-BC7</f>
        <v>4431.558926311</v>
      </c>
      <c r="BD8" s="22" t="n">
        <f aca="false">BC8*(1-Premissas!$C$14)+BD6-BD7</f>
        <v>4631.0721530511</v>
      </c>
      <c r="BE8" s="22" t="n">
        <f aca="false">BD8*(1-Premissas!$C$14)+BE6-BE7</f>
        <v>4839.55230598777</v>
      </c>
      <c r="BF8" s="22" t="n">
        <f aca="false">BE8*(1-Premissas!$C$14)+BF6-BF7</f>
        <v>5057.40423708066</v>
      </c>
      <c r="BG8" s="22" t="n">
        <f aca="false">BF8*(1-Premissas!$C$14)+BG6-BG7</f>
        <v>5284.5462020155</v>
      </c>
      <c r="BH8" s="22" t="n">
        <f aca="false">BG8*(1-Premissas!$C$14)+BH6-BH7</f>
        <v>5481.46250246046</v>
      </c>
      <c r="BI8" s="22" t="n">
        <f aca="false">BH8*(1-Premissas!$C$14)+BI6-BI7</f>
        <v>5651.6870021652</v>
      </c>
      <c r="BJ8" s="22" t="n">
        <f aca="false">BI8*(1-Premissas!$C$14)+BJ6-BJ7</f>
        <v>5801.48456190538</v>
      </c>
      <c r="BK8" s="22" t="n">
        <f aca="false">BJ8*(1-Premissas!$C$14)+BK6-BK7</f>
        <v>5933.30641447673</v>
      </c>
    </row>
    <row r="9" customFormat="false" ht="15" hidden="false" customHeight="false" outlineLevel="0" collapsed="false">
      <c r="A9" s="9" t="s">
        <v>147</v>
      </c>
      <c r="B9" s="19" t="s">
        <v>144</v>
      </c>
      <c r="C9" s="22" t="n">
        <v>0</v>
      </c>
      <c r="D9" s="22" t="n">
        <f aca="false">D7*Premissas!$C$13</f>
        <v>0</v>
      </c>
      <c r="E9" s="22" t="n">
        <f aca="false">E7*Premissas!$C$13</f>
        <v>0</v>
      </c>
      <c r="F9" s="22" t="n">
        <f aca="false">F7*Premissas!$C$13</f>
        <v>4.8</v>
      </c>
      <c r="G9" s="22" t="n">
        <f aca="false">G7*Premissas!$C$13</f>
        <v>5.016</v>
      </c>
      <c r="H9" s="22" t="n">
        <f aca="false">H7*Premissas!$C$13</f>
        <v>5.24172</v>
      </c>
      <c r="I9" s="22" t="n">
        <f aca="false">I7*Premissas!$C$13</f>
        <v>5.4775974</v>
      </c>
      <c r="J9" s="22" t="n">
        <f aca="false">J7*Premissas!$C$13</f>
        <v>5.724089283</v>
      </c>
      <c r="K9" s="22" t="n">
        <f aca="false">K7*Premissas!$C$13</f>
        <v>5.981673300735</v>
      </c>
      <c r="L9" s="22" t="n">
        <f aca="false">L7*Premissas!$C$13</f>
        <v>6.25084859926808</v>
      </c>
      <c r="M9" s="22" t="n">
        <f aca="false">M7*Premissas!$C$13</f>
        <v>6.53213678623514</v>
      </c>
      <c r="N9" s="22" t="n">
        <f aca="false">N7*Premissas!$C$13</f>
        <v>6.82608294161572</v>
      </c>
      <c r="O9" s="22" t="n">
        <f aca="false">O7*Premissas!$C$13</f>
        <v>7.13325667398842</v>
      </c>
      <c r="P9" s="22" t="n">
        <f aca="false">P7*Premissas!$C$13</f>
        <v>7.4542532243179</v>
      </c>
      <c r="Q9" s="22" t="n">
        <f aca="false">Q7*Premissas!$C$13</f>
        <v>7.78969461941221</v>
      </c>
      <c r="R9" s="22" t="n">
        <f aca="false">R7*Premissas!$C$13</f>
        <v>8.14023087728576</v>
      </c>
      <c r="S9" s="22" t="n">
        <f aca="false">S7*Premissas!$C$13</f>
        <v>8.50654126676362</v>
      </c>
      <c r="T9" s="22" t="n">
        <f aca="false">T7*Premissas!$C$13</f>
        <v>8.88933562376798</v>
      </c>
      <c r="U9" s="22" t="n">
        <f aca="false">U7*Premissas!$C$13</f>
        <v>9.28935572683754</v>
      </c>
      <c r="V9" s="22" t="n">
        <f aca="false">V7*Premissas!$C$13</f>
        <v>9.70737673454522</v>
      </c>
      <c r="W9" s="22" t="n">
        <f aca="false">W7*Premissas!$C$13</f>
        <v>10.1442086875998</v>
      </c>
      <c r="X9" s="22" t="n">
        <f aca="false">X7*Premissas!$C$13</f>
        <v>10.6006980785417</v>
      </c>
      <c r="Y9" s="22" t="n">
        <f aca="false">Y7*Premissas!$C$13</f>
        <v>11.0777294920761</v>
      </c>
      <c r="Z9" s="22" t="n">
        <f aca="false">Z7*Premissas!$C$13</f>
        <v>11.5762273192196</v>
      </c>
      <c r="AA9" s="22" t="n">
        <f aca="false">AA7*Premissas!$C$13</f>
        <v>12.0971575485844</v>
      </c>
      <c r="AB9" s="22" t="n">
        <f aca="false">AB7*Premissas!$C$13</f>
        <v>12.6415296382707</v>
      </c>
      <c r="AC9" s="22" t="n">
        <f aca="false">AC7*Premissas!$C$13</f>
        <v>13.2103984719929</v>
      </c>
      <c r="AD9" s="22" t="n">
        <f aca="false">AD7*Premissas!$C$13</f>
        <v>13.8048664032326</v>
      </c>
      <c r="AE9" s="22" t="n">
        <f aca="false">AE7*Premissas!$C$13</f>
        <v>14.4260853913781</v>
      </c>
      <c r="AF9" s="22" t="n">
        <f aca="false">AF7*Premissas!$C$13</f>
        <v>15.0752592339901</v>
      </c>
      <c r="AG9" s="22" t="n">
        <f aca="false">AG7*Premissas!$C$13</f>
        <v>15.7536458995196</v>
      </c>
      <c r="AH9" s="22" t="n">
        <f aca="false">AH7*Premissas!$C$13</f>
        <v>16.462559964998</v>
      </c>
      <c r="AI9" s="22" t="n">
        <f aca="false">AI7*Premissas!$C$13</f>
        <v>17.2033751634229</v>
      </c>
      <c r="AJ9" s="22" t="n">
        <f aca="false">AJ7*Premissas!$C$13</f>
        <v>17.9775270457769</v>
      </c>
      <c r="AK9" s="22" t="n">
        <f aca="false">AK7*Premissas!$C$13</f>
        <v>18.7865157628369</v>
      </c>
      <c r="AL9" s="22" t="n">
        <f aca="false">AL7*Premissas!$C$13</f>
        <v>19.6319089721646</v>
      </c>
      <c r="AM9" s="22" t="n">
        <f aca="false">AM7*Premissas!$C$13</f>
        <v>20.515344875912</v>
      </c>
      <c r="AN9" s="22" t="n">
        <f aca="false">AN7*Premissas!$C$13</f>
        <v>21.438535395328</v>
      </c>
      <c r="AO9" s="22" t="n">
        <f aca="false">AO7*Premissas!$C$13</f>
        <v>22.4032694881178</v>
      </c>
      <c r="AP9" s="22" t="n">
        <f aca="false">AP7*Premissas!$C$13</f>
        <v>23.4114166150831</v>
      </c>
      <c r="AQ9" s="22" t="n">
        <f aca="false">AQ7*Premissas!$C$13</f>
        <v>24.4649303627618</v>
      </c>
      <c r="AR9" s="22" t="n">
        <f aca="false">AR7*Premissas!$C$13</f>
        <v>25.5658522290861</v>
      </c>
      <c r="AS9" s="22" t="n">
        <f aca="false">AS7*Premissas!$C$13</f>
        <v>26.7163155793949</v>
      </c>
      <c r="AT9" s="22" t="n">
        <f aca="false">AT7*Premissas!$C$13</f>
        <v>27.9185497804677</v>
      </c>
      <c r="AU9" s="22" t="n">
        <f aca="false">AU7*Premissas!$C$13</f>
        <v>29.1748845205888</v>
      </c>
      <c r="AV9" s="22" t="n">
        <f aca="false">AV7*Premissas!$C$13</f>
        <v>30.4877543240153</v>
      </c>
      <c r="AW9" s="22" t="n">
        <f aca="false">AW7*Premissas!$C$13</f>
        <v>31.8597032685959</v>
      </c>
      <c r="AX9" s="22" t="n">
        <f aca="false">AX7*Premissas!$C$13</f>
        <v>33.2933899156828</v>
      </c>
      <c r="AY9" s="22" t="n">
        <f aca="false">AY7*Premissas!$C$13</f>
        <v>34.7915924618885</v>
      </c>
      <c r="AZ9" s="22" t="n">
        <f aca="false">AZ7*Premissas!$C$13</f>
        <v>36.3572141226735</v>
      </c>
      <c r="BA9" s="22" t="n">
        <f aca="false">BA7*Premissas!$C$13</f>
        <v>37.9932887581938</v>
      </c>
      <c r="BB9" s="22" t="n">
        <f aca="false">BB7*Premissas!$C$13</f>
        <v>39.7029867523125</v>
      </c>
      <c r="BC9" s="22" t="n">
        <f aca="false">BC7*Premissas!$C$13</f>
        <v>41.4896211561665</v>
      </c>
      <c r="BD9" s="22" t="n">
        <f aca="false">BD7*Premissas!$C$13</f>
        <v>43.356654108194</v>
      </c>
      <c r="BE9" s="22" t="n">
        <f aca="false">BE7*Premissas!$C$13</f>
        <v>45.3077035430628</v>
      </c>
      <c r="BF9" s="22" t="n">
        <f aca="false">BF7*Premissas!$C$13</f>
        <v>47.3465502025006</v>
      </c>
      <c r="BG9" s="22" t="n">
        <f aca="false">BG7*Premissas!$C$13</f>
        <v>49.4771449616131</v>
      </c>
      <c r="BH9" s="22" t="n">
        <f aca="false">BH7*Premissas!$C$13</f>
        <v>51.7036164848857</v>
      </c>
      <c r="BI9" s="22" t="n">
        <f aca="false">BI7*Premissas!$C$13</f>
        <v>54</v>
      </c>
      <c r="BJ9" s="22" t="n">
        <f aca="false">BJ7*Premissas!$C$13</f>
        <v>54</v>
      </c>
      <c r="BK9" s="22" t="n">
        <f aca="false">BK7*Premissas!$C$13</f>
        <v>54</v>
      </c>
    </row>
    <row r="10" customFormat="false" ht="15" hidden="false" customHeight="false" outlineLevel="0" collapsed="false">
      <c r="A10" s="9" t="s">
        <v>148</v>
      </c>
      <c r="B10" s="19" t="s">
        <v>144</v>
      </c>
      <c r="C10" s="22" t="n">
        <v>0</v>
      </c>
      <c r="D10" s="22" t="n">
        <f aca="false">D7*(1-Premissas!$C$13)</f>
        <v>0</v>
      </c>
      <c r="E10" s="22" t="n">
        <f aca="false">E7*(1-Premissas!$C$13)</f>
        <v>0</v>
      </c>
      <c r="F10" s="22" t="n">
        <f aca="false">F7*(1-Premissas!$C$13)</f>
        <v>1.6</v>
      </c>
      <c r="G10" s="22" t="n">
        <f aca="false">G7*(1-Premissas!$C$13)</f>
        <v>1.672</v>
      </c>
      <c r="H10" s="22" t="n">
        <f aca="false">H7*(1-Premissas!$C$13)</f>
        <v>1.74724</v>
      </c>
      <c r="I10" s="22" t="n">
        <f aca="false">I7*(1-Premissas!$C$13)</f>
        <v>1.8258658</v>
      </c>
      <c r="J10" s="22" t="n">
        <f aca="false">J7*(1-Premissas!$C$13)</f>
        <v>1.908029761</v>
      </c>
      <c r="K10" s="22" t="n">
        <f aca="false">K7*(1-Premissas!$C$13)</f>
        <v>1.993891100245</v>
      </c>
      <c r="L10" s="22" t="n">
        <f aca="false">L7*(1-Premissas!$C$13)</f>
        <v>2.08361619975602</v>
      </c>
      <c r="M10" s="22" t="n">
        <f aca="false">M7*(1-Premissas!$C$13)</f>
        <v>2.17737892874505</v>
      </c>
      <c r="N10" s="22" t="n">
        <f aca="false">N7*(1-Premissas!$C$13)</f>
        <v>2.27536098053857</v>
      </c>
      <c r="O10" s="22" t="n">
        <f aca="false">O7*(1-Premissas!$C$13)</f>
        <v>2.37775222466281</v>
      </c>
      <c r="P10" s="22" t="n">
        <f aca="false">P7*(1-Premissas!$C$13)</f>
        <v>2.48475107477263</v>
      </c>
      <c r="Q10" s="22" t="n">
        <f aca="false">Q7*(1-Premissas!$C$13)</f>
        <v>2.5965648731374</v>
      </c>
      <c r="R10" s="22" t="n">
        <f aca="false">R7*(1-Premissas!$C$13)</f>
        <v>2.71341029242859</v>
      </c>
      <c r="S10" s="22" t="n">
        <f aca="false">S7*(1-Premissas!$C$13)</f>
        <v>2.83551375558787</v>
      </c>
      <c r="T10" s="22" t="n">
        <f aca="false">T7*(1-Premissas!$C$13)</f>
        <v>2.96311187458933</v>
      </c>
      <c r="U10" s="22" t="n">
        <f aca="false">U7*(1-Premissas!$C$13)</f>
        <v>3.09645190894585</v>
      </c>
      <c r="V10" s="22" t="n">
        <f aca="false">V7*(1-Premissas!$C$13)</f>
        <v>3.23579224484841</v>
      </c>
      <c r="W10" s="22" t="n">
        <f aca="false">W7*(1-Premissas!$C$13)</f>
        <v>3.38140289586659</v>
      </c>
      <c r="X10" s="22" t="n">
        <f aca="false">X7*(1-Premissas!$C$13)</f>
        <v>3.53356602618058</v>
      </c>
      <c r="Y10" s="22" t="n">
        <f aca="false">Y7*(1-Premissas!$C$13)</f>
        <v>3.69257649735871</v>
      </c>
      <c r="Z10" s="22" t="n">
        <f aca="false">Z7*(1-Premissas!$C$13)</f>
        <v>3.85874243973985</v>
      </c>
      <c r="AA10" s="22" t="n">
        <f aca="false">AA7*(1-Premissas!$C$13)</f>
        <v>4.03238584952814</v>
      </c>
      <c r="AB10" s="22" t="n">
        <f aca="false">AB7*(1-Premissas!$C$13)</f>
        <v>4.21384321275691</v>
      </c>
      <c r="AC10" s="22" t="n">
        <f aca="false">AC7*(1-Premissas!$C$13)</f>
        <v>4.40346615733097</v>
      </c>
      <c r="AD10" s="22" t="n">
        <f aca="false">AD7*(1-Premissas!$C$13)</f>
        <v>4.60162213441086</v>
      </c>
      <c r="AE10" s="22" t="n">
        <f aca="false">AE7*(1-Premissas!$C$13)</f>
        <v>4.80869513045935</v>
      </c>
      <c r="AF10" s="22" t="n">
        <f aca="false">AF7*(1-Premissas!$C$13)</f>
        <v>5.02508641133002</v>
      </c>
      <c r="AG10" s="22" t="n">
        <f aca="false">AG7*(1-Premissas!$C$13)</f>
        <v>5.25121529983987</v>
      </c>
      <c r="AH10" s="22" t="n">
        <f aca="false">AH7*(1-Premissas!$C$13)</f>
        <v>5.48751998833267</v>
      </c>
      <c r="AI10" s="22" t="n">
        <f aca="false">AI7*(1-Premissas!$C$13)</f>
        <v>5.73445838780764</v>
      </c>
      <c r="AJ10" s="22" t="n">
        <f aca="false">AJ7*(1-Premissas!$C$13)</f>
        <v>5.99250901525898</v>
      </c>
      <c r="AK10" s="22" t="n">
        <f aca="false">AK7*(1-Premissas!$C$13)</f>
        <v>6.26217192094563</v>
      </c>
      <c r="AL10" s="22" t="n">
        <f aca="false">AL7*(1-Premissas!$C$13)</f>
        <v>6.54396965738819</v>
      </c>
      <c r="AM10" s="22" t="n">
        <f aca="false">AM7*(1-Premissas!$C$13)</f>
        <v>6.83844829197065</v>
      </c>
      <c r="AN10" s="22" t="n">
        <f aca="false">AN7*(1-Premissas!$C$13)</f>
        <v>7.14617846510933</v>
      </c>
      <c r="AO10" s="22" t="n">
        <f aca="false">AO7*(1-Premissas!$C$13)</f>
        <v>7.46775649603925</v>
      </c>
      <c r="AP10" s="22" t="n">
        <f aca="false">AP7*(1-Premissas!$C$13)</f>
        <v>7.80380553836102</v>
      </c>
      <c r="AQ10" s="22" t="n">
        <f aca="false">AQ7*(1-Premissas!$C$13)</f>
        <v>8.15497678758726</v>
      </c>
      <c r="AR10" s="22" t="n">
        <f aca="false">AR7*(1-Premissas!$C$13)</f>
        <v>8.52195074302869</v>
      </c>
      <c r="AS10" s="22" t="n">
        <f aca="false">AS7*(1-Premissas!$C$13)</f>
        <v>8.90543852646498</v>
      </c>
      <c r="AT10" s="22" t="n">
        <f aca="false">AT7*(1-Premissas!$C$13)</f>
        <v>9.30618326015591</v>
      </c>
      <c r="AU10" s="22" t="n">
        <f aca="false">AU7*(1-Premissas!$C$13)</f>
        <v>9.72496150686292</v>
      </c>
      <c r="AV10" s="22" t="n">
        <f aca="false">AV7*(1-Premissas!$C$13)</f>
        <v>10.1625847746718</v>
      </c>
      <c r="AW10" s="22" t="n">
        <f aca="false">AW7*(1-Premissas!$C$13)</f>
        <v>10.619901089532</v>
      </c>
      <c r="AX10" s="22" t="n">
        <f aca="false">AX7*(1-Premissas!$C$13)</f>
        <v>11.0977966385609</v>
      </c>
      <c r="AY10" s="22" t="n">
        <f aca="false">AY7*(1-Premissas!$C$13)</f>
        <v>11.5971974872962</v>
      </c>
      <c r="AZ10" s="22" t="n">
        <f aca="false">AZ7*(1-Premissas!$C$13)</f>
        <v>12.1190713742245</v>
      </c>
      <c r="BA10" s="22" t="n">
        <f aca="false">BA7*(1-Premissas!$C$13)</f>
        <v>12.6644295860646</v>
      </c>
      <c r="BB10" s="22" t="n">
        <f aca="false">BB7*(1-Premissas!$C$13)</f>
        <v>13.2343289174375</v>
      </c>
      <c r="BC10" s="22" t="n">
        <f aca="false">BC7*(1-Premissas!$C$13)</f>
        <v>13.8298737187222</v>
      </c>
      <c r="BD10" s="22" t="n">
        <f aca="false">BD7*(1-Premissas!$C$13)</f>
        <v>14.4522180360647</v>
      </c>
      <c r="BE10" s="22" t="n">
        <f aca="false">BE7*(1-Premissas!$C$13)</f>
        <v>15.1025678476876</v>
      </c>
      <c r="BF10" s="22" t="n">
        <f aca="false">BF7*(1-Premissas!$C$13)</f>
        <v>15.7821834008335</v>
      </c>
      <c r="BG10" s="22" t="n">
        <f aca="false">BG7*(1-Premissas!$C$13)</f>
        <v>16.492381653871</v>
      </c>
      <c r="BH10" s="22" t="n">
        <f aca="false">BH7*(1-Premissas!$C$13)</f>
        <v>17.2345388282952</v>
      </c>
      <c r="BI10" s="22" t="n">
        <f aca="false">BI7*(1-Premissas!$C$13)</f>
        <v>18</v>
      </c>
      <c r="BJ10" s="22" t="n">
        <f aca="false">BJ7*(1-Premissas!$C$13)</f>
        <v>18</v>
      </c>
      <c r="BK10" s="22" t="n">
        <f aca="false">BK7*(1-Premissas!$C$13)</f>
        <v>18</v>
      </c>
    </row>
    <row r="11" customFormat="false" ht="15" hidden="false" customHeight="false" outlineLevel="0" collapsed="false">
      <c r="A11" s="9" t="s">
        <v>149</v>
      </c>
      <c r="B11" s="19" t="s">
        <v>144</v>
      </c>
      <c r="C11" s="22" t="n">
        <v>0</v>
      </c>
      <c r="D11" s="22" t="n">
        <f aca="false">C11*(1-Premissas!$C$15)+D9</f>
        <v>0</v>
      </c>
      <c r="E11" s="22" t="n">
        <f aca="false">D11*(1-Premissas!$C$15)+E9</f>
        <v>0</v>
      </c>
      <c r="F11" s="22" t="n">
        <f aca="false">E11*(1-Premissas!$C$15)+F9</f>
        <v>4.8</v>
      </c>
      <c r="G11" s="22" t="n">
        <f aca="false">F11*(1-Premissas!$C$15)+G9</f>
        <v>9.528</v>
      </c>
      <c r="H11" s="22" t="n">
        <f aca="false">G11*(1-Premissas!$C$15)+H9</f>
        <v>14.19804</v>
      </c>
      <c r="I11" s="22" t="n">
        <f aca="false">H11*(1-Premissas!$C$15)+I9</f>
        <v>18.823755</v>
      </c>
      <c r="J11" s="22" t="n">
        <f aca="false">I11*(1-Premissas!$C$15)+J9</f>
        <v>23.418418983</v>
      </c>
      <c r="K11" s="22" t="n">
        <f aca="false">J11*(1-Premissas!$C$15)+K9</f>
        <v>27.994987144755</v>
      </c>
      <c r="L11" s="22" t="n">
        <f aca="false">K11*(1-Premissas!$C$15)+L9</f>
        <v>32.5661365153378</v>
      </c>
      <c r="M11" s="22" t="n">
        <f aca="false">L11*(1-Premissas!$C$15)+M9</f>
        <v>37.1443051106526</v>
      </c>
      <c r="N11" s="22" t="n">
        <f aca="false">M11*(1-Premissas!$C$15)+N9</f>
        <v>41.7417297456292</v>
      </c>
      <c r="O11" s="22" t="n">
        <f aca="false">N11*(1-Premissas!$C$15)+O9</f>
        <v>46.3704826348799</v>
      </c>
      <c r="P11" s="22" t="n">
        <f aca="false">O11*(1-Premissas!$C$15)+P9</f>
        <v>51.042506901105</v>
      </c>
      <c r="Q11" s="22" t="n">
        <f aca="false">P11*(1-Premissas!$C$15)+Q9</f>
        <v>55.7696511064509</v>
      </c>
      <c r="R11" s="22" t="n">
        <f aca="false">Q11*(1-Premissas!$C$15)+R9</f>
        <v>60.5637029173496</v>
      </c>
      <c r="S11" s="22" t="n">
        <f aca="false">R11*(1-Premissas!$C$15)+S9</f>
        <v>65.4364220090722</v>
      </c>
      <c r="T11" s="22" t="n">
        <f aca="false">S11*(1-Premissas!$C$15)+T9</f>
        <v>70.3995723122959</v>
      </c>
      <c r="U11" s="22" t="n">
        <f aca="false">T11*(1-Premissas!$C$15)+U9</f>
        <v>75.4649537003956</v>
      </c>
      <c r="V11" s="22" t="n">
        <f aca="false">U11*(1-Premissas!$C$15)+V9</f>
        <v>80.6444332129171</v>
      </c>
      <c r="W11" s="22" t="n">
        <f aca="false">V11*(1-Premissas!$C$15)+W9</f>
        <v>85.9499759077418</v>
      </c>
      <c r="X11" s="22" t="n">
        <f aca="false">W11*(1-Premissas!$C$15)+X9</f>
        <v>91.3936754318191</v>
      </c>
      <c r="Y11" s="22" t="n">
        <f aca="false">X11*(1-Premissas!$C$15)+Y9</f>
        <v>96.9877843979861</v>
      </c>
      <c r="Z11" s="22" t="n">
        <f aca="false">Y11*(1-Premissas!$C$15)+Z9</f>
        <v>102.744744653326</v>
      </c>
      <c r="AA11" s="22" t="n">
        <f aca="false">Z11*(1-Premissas!$C$15)+AA9</f>
        <v>108.677217522711</v>
      </c>
      <c r="AB11" s="22" t="n">
        <f aca="false">AA11*(1-Premissas!$C$15)+AB9</f>
        <v>114.798114109619</v>
      </c>
      <c r="AC11" s="22" t="n">
        <f aca="false">AB11*(1-Premissas!$C$15)+AC9</f>
        <v>121.120625735035</v>
      </c>
      <c r="AD11" s="22" t="n">
        <f aca="false">AC11*(1-Premissas!$C$15)+AD9</f>
        <v>127.658254594166</v>
      </c>
      <c r="AE11" s="22" t="n">
        <f aca="false">AD11*(1-Premissas!$C$15)+AE9</f>
        <v>134.424844709894</v>
      </c>
      <c r="AF11" s="22" t="n">
        <f aca="false">AE11*(1-Premissas!$C$15)+AF9</f>
        <v>141.43461326129</v>
      </c>
      <c r="AG11" s="22" t="n">
        <f aca="false">AF11*(1-Premissas!$C$15)+AG9</f>
        <v>148.702182365132</v>
      </c>
      <c r="AH11" s="22" t="n">
        <f aca="false">AG11*(1-Premissas!$C$15)+AH9</f>
        <v>156.242611388222</v>
      </c>
      <c r="AI11" s="22" t="n">
        <f aca="false">AH11*(1-Premissas!$C$15)+AI9</f>
        <v>164.071429868352</v>
      </c>
      <c r="AJ11" s="22" t="n">
        <f aca="false">AI11*(1-Premissas!$C$15)+AJ9</f>
        <v>172.204671122028</v>
      </c>
      <c r="AK11" s="22" t="n">
        <f aca="false">AJ11*(1-Premissas!$C$15)+AK9</f>
        <v>180.658906617543</v>
      </c>
      <c r="AL11" s="22" t="n">
        <f aca="false">AK11*(1-Premissas!$C$15)+AL9</f>
        <v>189.451281192655</v>
      </c>
      <c r="AM11" s="22" t="n">
        <f aca="false">AL11*(1-Premissas!$C$15)+AM9</f>
        <v>198.599549197008</v>
      </c>
      <c r="AN11" s="22" t="n">
        <f aca="false">AM11*(1-Premissas!$C$15)+AN9</f>
        <v>208.122111640515</v>
      </c>
      <c r="AO11" s="22" t="n">
        <f aca="false">AN11*(1-Premissas!$C$15)+AO9</f>
        <v>218.038054430202</v>
      </c>
      <c r="AP11" s="22" t="n">
        <f aca="false">AO11*(1-Premissas!$C$15)+AP9</f>
        <v>228.367187779473</v>
      </c>
      <c r="AQ11" s="22" t="n">
        <f aca="false">AP11*(1-Premissas!$C$15)+AQ9</f>
        <v>239.130086875466</v>
      </c>
      <c r="AR11" s="22" t="n">
        <f aca="false">AQ11*(1-Premissas!$C$15)+AR9</f>
        <v>250.348133892024</v>
      </c>
      <c r="AS11" s="22" t="n">
        <f aca="false">AR11*(1-Premissas!$C$15)+AS9</f>
        <v>262.043561437898</v>
      </c>
      <c r="AT11" s="22" t="n">
        <f aca="false">AS11*(1-Premissas!$C$15)+AT9</f>
        <v>274.239497532092</v>
      </c>
      <c r="AU11" s="22" t="n">
        <f aca="false">AT11*(1-Premissas!$C$15)+AU9</f>
        <v>286.960012200755</v>
      </c>
      <c r="AV11" s="22" t="n">
        <f aca="false">AU11*(1-Premissas!$C$15)+AV9</f>
        <v>300.230165792725</v>
      </c>
      <c r="AW11" s="22" t="n">
        <f aca="false">AV11*(1-Premissas!$C$15)+AW9</f>
        <v>314.076059113757</v>
      </c>
      <c r="AX11" s="22" t="n">
        <f aca="false">AW11*(1-Premissas!$C$15)+AX9</f>
        <v>328.524885482615</v>
      </c>
      <c r="AY11" s="22" t="n">
        <f aca="false">AX11*(1-Premissas!$C$15)+AY9</f>
        <v>343.604984815546</v>
      </c>
      <c r="AZ11" s="22" t="n">
        <f aca="false">AY11*(1-Premissas!$C$15)+AZ9</f>
        <v>359.345899849287</v>
      </c>
      <c r="BA11" s="22" t="n">
        <f aca="false">AZ11*(1-Premissas!$C$15)+BA9</f>
        <v>375.778434616523</v>
      </c>
      <c r="BB11" s="22" t="n">
        <f aca="false">BA11*(1-Premissas!$C$15)+BB9</f>
        <v>392.934715291845</v>
      </c>
      <c r="BC11" s="22" t="n">
        <f aca="false">BB11*(1-Premissas!$C$15)+BC9</f>
        <v>410.8482535305</v>
      </c>
      <c r="BD11" s="22" t="n">
        <f aca="false">BC11*(1-Premissas!$C$15)+BD9</f>
        <v>429.554012426864</v>
      </c>
      <c r="BE11" s="22" t="n">
        <f aca="false">BD11*(1-Premissas!$C$15)+BE9</f>
        <v>449.088475224315</v>
      </c>
      <c r="BF11" s="22" t="n">
        <f aca="false">BE11*(1-Premissas!$C$15)+BF9</f>
        <v>469.489716913357</v>
      </c>
      <c r="BG11" s="22" t="n">
        <f aca="false">BF11*(1-Premissas!$C$15)+BG9</f>
        <v>490.797478860169</v>
      </c>
      <c r="BH11" s="22" t="n">
        <f aca="false">BG11*(1-Premissas!$C$15)+BH9</f>
        <v>513.053246613444</v>
      </c>
      <c r="BI11" s="22" t="n">
        <f aca="false">BH11*(1-Premissas!$C$15)+BI9</f>
        <v>536.270051816637</v>
      </c>
      <c r="BJ11" s="22" t="n">
        <f aca="false">BI11*(1-Premissas!$C$15)+BJ9</f>
        <v>558.093848707639</v>
      </c>
      <c r="BK11" s="22" t="n">
        <f aca="false">BJ11*(1-Premissas!$C$15)+BK9</f>
        <v>578.608217785181</v>
      </c>
    </row>
    <row r="12" customFormat="false" ht="15" hidden="false" customHeight="false" outlineLevel="0" collapsed="false">
      <c r="A12" s="9" t="s">
        <v>150</v>
      </c>
      <c r="B12" s="19" t="s">
        <v>144</v>
      </c>
      <c r="C12" s="22" t="n">
        <v>0</v>
      </c>
      <c r="D12" s="22" t="n">
        <f aca="false">C12*(1-Premissas!$C$15)+D10</f>
        <v>0</v>
      </c>
      <c r="E12" s="22" t="n">
        <f aca="false">D12*(1-Premissas!$C$15)+E10</f>
        <v>0</v>
      </c>
      <c r="F12" s="22" t="n">
        <f aca="false">E12*(1-Premissas!$C$15)+F10</f>
        <v>1.6</v>
      </c>
      <c r="G12" s="22" t="n">
        <f aca="false">F12*(1-Premissas!$C$15)+G10</f>
        <v>3.176</v>
      </c>
      <c r="H12" s="22" t="n">
        <f aca="false">G12*(1-Premissas!$C$15)+H10</f>
        <v>4.73268</v>
      </c>
      <c r="I12" s="22" t="n">
        <f aca="false">H12*(1-Premissas!$C$15)+I10</f>
        <v>6.274585</v>
      </c>
      <c r="J12" s="22" t="n">
        <f aca="false">I12*(1-Premissas!$C$15)+J10</f>
        <v>7.806139661</v>
      </c>
      <c r="K12" s="22" t="n">
        <f aca="false">J12*(1-Premissas!$C$15)+K10</f>
        <v>9.331662381585</v>
      </c>
      <c r="L12" s="22" t="n">
        <f aca="false">K12*(1-Premissas!$C$15)+L10</f>
        <v>10.8553788384459</v>
      </c>
      <c r="M12" s="22" t="n">
        <f aca="false">L12*(1-Premissas!$C$15)+M10</f>
        <v>12.3814350368842</v>
      </c>
      <c r="N12" s="22" t="n">
        <f aca="false">M12*(1-Premissas!$C$15)+N10</f>
        <v>13.9139099152097</v>
      </c>
      <c r="O12" s="22" t="n">
        <f aca="false">N12*(1-Premissas!$C$15)+O10</f>
        <v>15.45682754496</v>
      </c>
      <c r="P12" s="22" t="n">
        <f aca="false">O12*(1-Premissas!$C$15)+P10</f>
        <v>17.014168967035</v>
      </c>
      <c r="Q12" s="22" t="n">
        <f aca="false">P12*(1-Premissas!$C$15)+Q10</f>
        <v>18.5898837021503</v>
      </c>
      <c r="R12" s="22" t="n">
        <f aca="false">Q12*(1-Premissas!$C$15)+R10</f>
        <v>20.1879009724499</v>
      </c>
      <c r="S12" s="22" t="n">
        <f aca="false">R12*(1-Premissas!$C$15)+S10</f>
        <v>21.8121406696907</v>
      </c>
      <c r="T12" s="22" t="n">
        <f aca="false">S12*(1-Premissas!$C$15)+T10</f>
        <v>23.4665241040986</v>
      </c>
      <c r="U12" s="22" t="n">
        <f aca="false">T12*(1-Premissas!$C$15)+U10</f>
        <v>25.1549845667985</v>
      </c>
      <c r="V12" s="22" t="n">
        <f aca="false">U12*(1-Premissas!$C$15)+V10</f>
        <v>26.881477737639</v>
      </c>
      <c r="W12" s="22" t="n">
        <f aca="false">V12*(1-Premissas!$C$15)+W10</f>
        <v>28.6499919692473</v>
      </c>
      <c r="X12" s="22" t="n">
        <f aca="false">W12*(1-Premissas!$C$15)+X10</f>
        <v>30.464558477273</v>
      </c>
      <c r="Y12" s="22" t="n">
        <f aca="false">X12*(1-Premissas!$C$15)+Y10</f>
        <v>32.3292614659954</v>
      </c>
      <c r="Z12" s="22" t="n">
        <f aca="false">Y12*(1-Premissas!$C$15)+Z10</f>
        <v>34.2482482177755</v>
      </c>
      <c r="AA12" s="22" t="n">
        <f aca="false">Z12*(1-Premissas!$C$15)+AA10</f>
        <v>36.2257391742371</v>
      </c>
      <c r="AB12" s="22" t="n">
        <f aca="false">AA12*(1-Premissas!$C$15)+AB10</f>
        <v>38.2660380365398</v>
      </c>
      <c r="AC12" s="22" t="n">
        <f aca="false">AB12*(1-Premissas!$C$15)+AC10</f>
        <v>40.3735419116783</v>
      </c>
      <c r="AD12" s="22" t="n">
        <f aca="false">AC12*(1-Premissas!$C$15)+AD10</f>
        <v>42.5527515313885</v>
      </c>
      <c r="AE12" s="22" t="n">
        <f aca="false">AD12*(1-Premissas!$C$15)+AE10</f>
        <v>44.8082815699645</v>
      </c>
      <c r="AF12" s="22" t="n">
        <f aca="false">AE12*(1-Premissas!$C$15)+AF10</f>
        <v>47.1448710870967</v>
      </c>
      <c r="AG12" s="22" t="n">
        <f aca="false">AF12*(1-Premissas!$C$15)+AG10</f>
        <v>49.5673941217108</v>
      </c>
      <c r="AH12" s="22" t="n">
        <f aca="false">AG12*(1-Premissas!$C$15)+AH10</f>
        <v>52.0808704627408</v>
      </c>
      <c r="AI12" s="22" t="n">
        <f aca="false">AH12*(1-Premissas!$C$15)+AI10</f>
        <v>54.690476622784</v>
      </c>
      <c r="AJ12" s="22" t="n">
        <f aca="false">AI12*(1-Premissas!$C$15)+AJ10</f>
        <v>57.4015570406759</v>
      </c>
      <c r="AK12" s="22" t="n">
        <f aca="false">AJ12*(1-Premissas!$C$15)+AK10</f>
        <v>60.219635539181</v>
      </c>
      <c r="AL12" s="22" t="n">
        <f aca="false">AK12*(1-Premissas!$C$15)+AL10</f>
        <v>63.1504270642183</v>
      </c>
      <c r="AM12" s="22" t="n">
        <f aca="false">AL12*(1-Premissas!$C$15)+AM10</f>
        <v>66.1998497323359</v>
      </c>
      <c r="AN12" s="22" t="n">
        <f aca="false">AM12*(1-Premissas!$C$15)+AN10</f>
        <v>69.374037213505</v>
      </c>
      <c r="AO12" s="22" t="n">
        <f aca="false">AN12*(1-Premissas!$C$15)+AO10</f>
        <v>72.679351476734</v>
      </c>
      <c r="AP12" s="22" t="n">
        <f aca="false">AO12*(1-Premissas!$C$15)+AP10</f>
        <v>76.122395926491</v>
      </c>
      <c r="AQ12" s="22" t="n">
        <f aca="false">AP12*(1-Premissas!$C$15)+AQ10</f>
        <v>79.7100289584888</v>
      </c>
      <c r="AR12" s="22" t="n">
        <f aca="false">AQ12*(1-Premissas!$C$15)+AR10</f>
        <v>83.4493779640081</v>
      </c>
      <c r="AS12" s="22" t="n">
        <f aca="false">AR12*(1-Premissas!$C$15)+AS10</f>
        <v>87.3478538126326</v>
      </c>
      <c r="AT12" s="22" t="n">
        <f aca="false">AS12*(1-Premissas!$C$15)+AT10</f>
        <v>91.4131658440306</v>
      </c>
      <c r="AU12" s="22" t="n">
        <f aca="false">AT12*(1-Premissas!$C$15)+AU10</f>
        <v>95.6533374002516</v>
      </c>
      <c r="AV12" s="22" t="n">
        <f aca="false">AU12*(1-Premissas!$C$15)+AV10</f>
        <v>100.076721930908</v>
      </c>
      <c r="AW12" s="22" t="n">
        <f aca="false">AV12*(1-Premissas!$C$15)+AW10</f>
        <v>104.692019704586</v>
      </c>
      <c r="AX12" s="22" t="n">
        <f aca="false">AW12*(1-Premissas!$C$15)+AX10</f>
        <v>109.508295160872</v>
      </c>
      <c r="AY12" s="22" t="n">
        <f aca="false">AX12*(1-Premissas!$C$15)+AY10</f>
        <v>114.534994938515</v>
      </c>
      <c r="AZ12" s="22" t="n">
        <f aca="false">AY12*(1-Premissas!$C$15)+AZ10</f>
        <v>119.781966616429</v>
      </c>
      <c r="BA12" s="22" t="n">
        <f aca="false">AZ12*(1-Premissas!$C$15)+BA10</f>
        <v>125.259478205508</v>
      </c>
      <c r="BB12" s="22" t="n">
        <f aca="false">BA12*(1-Premissas!$C$15)+BB10</f>
        <v>130.978238430615</v>
      </c>
      <c r="BC12" s="22" t="n">
        <f aca="false">BB12*(1-Premissas!$C$15)+BC10</f>
        <v>136.9494178435</v>
      </c>
      <c r="BD12" s="22" t="n">
        <f aca="false">BC12*(1-Premissas!$C$15)+BD10</f>
        <v>143.184670808955</v>
      </c>
      <c r="BE12" s="22" t="n">
        <f aca="false">BD12*(1-Premissas!$C$15)+BE10</f>
        <v>149.696158408105</v>
      </c>
      <c r="BF12" s="22" t="n">
        <f aca="false">BE12*(1-Premissas!$C$15)+BF10</f>
        <v>156.496572304452</v>
      </c>
      <c r="BG12" s="22" t="n">
        <f aca="false">BF12*(1-Premissas!$C$15)+BG10</f>
        <v>163.599159620056</v>
      </c>
      <c r="BH12" s="22" t="n">
        <f aca="false">BG12*(1-Premissas!$C$15)+BH10</f>
        <v>171.017748871148</v>
      </c>
      <c r="BI12" s="22" t="n">
        <f aca="false">BH12*(1-Premissas!$C$15)+BI10</f>
        <v>178.756683938879</v>
      </c>
      <c r="BJ12" s="22" t="n">
        <f aca="false">BI12*(1-Premissas!$C$15)+BJ10</f>
        <v>186.031282902546</v>
      </c>
      <c r="BK12" s="22" t="n">
        <f aca="false">BJ12*(1-Premissas!$C$15)+BK10</f>
        <v>192.869405928394</v>
      </c>
    </row>
    <row r="13" customFormat="false" ht="15" hidden="false" customHeight="false" outlineLevel="0" collapsed="false">
      <c r="A13" s="13" t="s">
        <v>151</v>
      </c>
      <c r="B13" s="19" t="s">
        <v>144</v>
      </c>
      <c r="C13" s="23" t="n">
        <v>0</v>
      </c>
      <c r="D13" s="23" t="n">
        <f aca="false">D11+D12</f>
        <v>0</v>
      </c>
      <c r="E13" s="23" t="n">
        <f aca="false">E11+E12</f>
        <v>0</v>
      </c>
      <c r="F13" s="23" t="n">
        <f aca="false">F11+F12</f>
        <v>6.4</v>
      </c>
      <c r="G13" s="23" t="n">
        <f aca="false">G11+G12</f>
        <v>12.704</v>
      </c>
      <c r="H13" s="23" t="n">
        <f aca="false">H11+H12</f>
        <v>18.93072</v>
      </c>
      <c r="I13" s="23" t="n">
        <f aca="false">I11+I12</f>
        <v>25.09834</v>
      </c>
      <c r="J13" s="23" t="n">
        <f aca="false">J11+J12</f>
        <v>31.224558644</v>
      </c>
      <c r="K13" s="23" t="n">
        <f aca="false">K11+K12</f>
        <v>37.32664952634</v>
      </c>
      <c r="L13" s="23" t="n">
        <f aca="false">L11+L12</f>
        <v>43.4215153537837</v>
      </c>
      <c r="M13" s="23" t="n">
        <f aca="false">M11+M12</f>
        <v>49.5257401475369</v>
      </c>
      <c r="N13" s="23" t="n">
        <f aca="false">N11+N12</f>
        <v>55.6556396608389</v>
      </c>
      <c r="O13" s="23" t="n">
        <f aca="false">O11+O12</f>
        <v>61.8273101798398</v>
      </c>
      <c r="P13" s="23" t="n">
        <f aca="false">P11+P12</f>
        <v>68.05667586814</v>
      </c>
      <c r="Q13" s="23" t="n">
        <f aca="false">Q11+Q12</f>
        <v>74.3595348086012</v>
      </c>
      <c r="R13" s="23" t="n">
        <f aca="false">R11+R12</f>
        <v>80.7516038897994</v>
      </c>
      <c r="S13" s="23" t="n">
        <f aca="false">S11+S12</f>
        <v>87.248562678763</v>
      </c>
      <c r="T13" s="23" t="n">
        <f aca="false">T11+T12</f>
        <v>93.8660964163945</v>
      </c>
      <c r="U13" s="23" t="n">
        <f aca="false">U11+U12</f>
        <v>100.619938267194</v>
      </c>
      <c r="V13" s="23" t="n">
        <f aca="false">V11+V12</f>
        <v>107.525910950556</v>
      </c>
      <c r="W13" s="23" t="n">
        <f aca="false">W11+W12</f>
        <v>114.599967876989</v>
      </c>
      <c r="X13" s="23" t="n">
        <f aca="false">X11+X12</f>
        <v>121.858233909092</v>
      </c>
      <c r="Y13" s="23" t="n">
        <f aca="false">Y11+Y12</f>
        <v>129.317045863981</v>
      </c>
      <c r="Z13" s="23" t="n">
        <f aca="false">Z11+Z12</f>
        <v>136.992992871102</v>
      </c>
      <c r="AA13" s="23" t="n">
        <f aca="false">AA11+AA12</f>
        <v>144.902956696948</v>
      </c>
      <c r="AB13" s="23" t="n">
        <f aca="false">AB11+AB12</f>
        <v>153.064152146159</v>
      </c>
      <c r="AC13" s="23" t="n">
        <f aca="false">AC11+AC12</f>
        <v>161.494167646713</v>
      </c>
      <c r="AD13" s="23" t="n">
        <f aca="false">AD11+AD12</f>
        <v>170.211006125554</v>
      </c>
      <c r="AE13" s="23" t="n">
        <f aca="false">AE11+AE12</f>
        <v>179.233126279858</v>
      </c>
      <c r="AF13" s="23" t="n">
        <f aca="false">AF11+AF12</f>
        <v>188.579484348387</v>
      </c>
      <c r="AG13" s="23" t="n">
        <f aca="false">AG11+AG12</f>
        <v>198.269576486843</v>
      </c>
      <c r="AH13" s="23" t="n">
        <f aca="false">AH11+AH12</f>
        <v>208.323481850963</v>
      </c>
      <c r="AI13" s="23" t="n">
        <f aca="false">AI11+AI12</f>
        <v>218.761906491136</v>
      </c>
      <c r="AJ13" s="23" t="n">
        <f aca="false">AJ11+AJ12</f>
        <v>229.606228162704</v>
      </c>
      <c r="AK13" s="23" t="n">
        <f aca="false">AK11+AK12</f>
        <v>240.878542156724</v>
      </c>
      <c r="AL13" s="23" t="n">
        <f aca="false">AL11+AL12</f>
        <v>252.601708256873</v>
      </c>
      <c r="AM13" s="23" t="n">
        <f aca="false">AM11+AM12</f>
        <v>264.799398929343</v>
      </c>
      <c r="AN13" s="23" t="n">
        <f aca="false">AN11+AN12</f>
        <v>277.49614885402</v>
      </c>
      <c r="AO13" s="23" t="n">
        <f aca="false">AO11+AO12</f>
        <v>290.717405906936</v>
      </c>
      <c r="AP13" s="23" t="n">
        <f aca="false">AP11+AP12</f>
        <v>304.489583705964</v>
      </c>
      <c r="AQ13" s="23" t="n">
        <f aca="false">AQ11+AQ12</f>
        <v>318.840115833955</v>
      </c>
      <c r="AR13" s="23" t="n">
        <f aca="false">AR11+AR12</f>
        <v>333.797511856033</v>
      </c>
      <c r="AS13" s="23" t="n">
        <f aca="false">AS11+AS12</f>
        <v>349.391415250531</v>
      </c>
      <c r="AT13" s="23" t="n">
        <f aca="false">AT11+AT12</f>
        <v>365.652663376122</v>
      </c>
      <c r="AU13" s="23" t="n">
        <f aca="false">AU11+AU12</f>
        <v>382.613349601007</v>
      </c>
      <c r="AV13" s="23" t="n">
        <f aca="false">AV11+AV12</f>
        <v>400.306887723633</v>
      </c>
      <c r="AW13" s="23" t="n">
        <f aca="false">AW11+AW12</f>
        <v>418.768078818343</v>
      </c>
      <c r="AX13" s="23" t="n">
        <f aca="false">AX11+AX12</f>
        <v>438.033180643486</v>
      </c>
      <c r="AY13" s="23" t="n">
        <f aca="false">AY11+AY12</f>
        <v>458.139979754062</v>
      </c>
      <c r="AZ13" s="23" t="n">
        <f aca="false">AZ11+AZ12</f>
        <v>479.127866465716</v>
      </c>
      <c r="BA13" s="23" t="n">
        <f aca="false">BA11+BA12</f>
        <v>501.037912822031</v>
      </c>
      <c r="BB13" s="23" t="n">
        <f aca="false">BB11+BB12</f>
        <v>523.912953722459</v>
      </c>
      <c r="BC13" s="23" t="n">
        <f aca="false">BC11+BC12</f>
        <v>547.797671374</v>
      </c>
      <c r="BD13" s="23" t="n">
        <f aca="false">BD11+BD12</f>
        <v>572.738683235819</v>
      </c>
      <c r="BE13" s="23" t="n">
        <f aca="false">BE11+BE12</f>
        <v>598.78463363242</v>
      </c>
      <c r="BF13" s="23" t="n">
        <f aca="false">BF11+BF12</f>
        <v>625.986289217809</v>
      </c>
      <c r="BG13" s="23" t="n">
        <f aca="false">BG11+BG12</f>
        <v>654.396638480225</v>
      </c>
      <c r="BH13" s="23" t="n">
        <f aca="false">BH11+BH12</f>
        <v>684.070995484592</v>
      </c>
      <c r="BI13" s="23" t="n">
        <f aca="false">BI11+BI12</f>
        <v>715.026735755517</v>
      </c>
      <c r="BJ13" s="23" t="n">
        <f aca="false">BJ11+BJ12</f>
        <v>744.125131610186</v>
      </c>
      <c r="BK13" s="23" t="n">
        <f aca="false">BK11+BK12</f>
        <v>771.477623713574</v>
      </c>
    </row>
    <row r="14" customFormat="false" ht="15" hidden="false" customHeight="false" outlineLevel="0" collapsed="false">
      <c r="A14" s="13" t="s">
        <v>152</v>
      </c>
      <c r="B14" s="19" t="s">
        <v>144</v>
      </c>
      <c r="C14" s="23" t="n">
        <v>0</v>
      </c>
      <c r="D14" s="23" t="n">
        <f aca="false">D8+D13</f>
        <v>80</v>
      </c>
      <c r="E14" s="23" t="n">
        <f aca="false">E8+E13</f>
        <v>154</v>
      </c>
      <c r="F14" s="23" t="n">
        <f aca="false">F8+F13</f>
        <v>222.882</v>
      </c>
      <c r="G14" s="23" t="n">
        <f aca="false">G8+G13</f>
        <v>287.81345</v>
      </c>
      <c r="H14" s="23" t="n">
        <f aca="false">H8+H13</f>
        <v>349.43956405</v>
      </c>
      <c r="I14" s="23" t="n">
        <f aca="false">I8+I13</f>
        <v>408.33721457625</v>
      </c>
      <c r="J14" s="23" t="n">
        <f aca="false">J8+J13</f>
        <v>465.023459214901</v>
      </c>
      <c r="K14" s="23" t="n">
        <f aca="false">K8+K13</f>
        <v>519.963064065005</v>
      </c>
      <c r="L14" s="23" t="n">
        <f aca="false">L8+L13</f>
        <v>573.575144375714</v>
      </c>
      <c r="M14" s="23" t="n">
        <f aca="false">M8+M13</f>
        <v>626.239029204996</v>
      </c>
      <c r="N14" s="23" t="n">
        <f aca="false">N8+N13</f>
        <v>678.29944384788</v>
      </c>
      <c r="O14" s="23" t="n">
        <f aca="false">O8+O13</f>
        <v>730.071092622655</v>
      </c>
      <c r="P14" s="23" t="n">
        <f aca="false">P8+P13</f>
        <v>781.842714740156</v>
      </c>
      <c r="Q14" s="23" t="n">
        <f aca="false">Q8+Q13</f>
        <v>833.880677302819</v>
      </c>
      <c r="R14" s="23" t="n">
        <f aca="false">R8+R13</f>
        <v>886.432161844463</v>
      </c>
      <c r="S14" s="23" t="n">
        <f aca="false">S8+S13</f>
        <v>939.727994103808</v>
      </c>
      <c r="T14" s="23" t="n">
        <f aca="false">T8+T13</f>
        <v>993.985160814497</v>
      </c>
      <c r="U14" s="23" t="n">
        <f aca="false">U8+U13</f>
        <v>1049.40905209507</v>
      </c>
      <c r="V14" s="23" t="n">
        <f aca="false">V8+V13</f>
        <v>1106.19546344872</v>
      </c>
      <c r="W14" s="23" t="n">
        <f aca="false">W8+W13</f>
        <v>1164.53238735985</v>
      </c>
      <c r="X14" s="23" t="n">
        <f aca="false">X8+X13</f>
        <v>1224.60162093628</v>
      </c>
      <c r="Y14" s="23" t="n">
        <f aca="false">Y8+Y13</f>
        <v>1286.58021293488</v>
      </c>
      <c r="Z14" s="23" t="n">
        <f aca="false">Z8+Z13</f>
        <v>1350.64177077237</v>
      </c>
      <c r="AA14" s="23" t="n">
        <f aca="false">AA8+AA13</f>
        <v>1416.9576457185</v>
      </c>
      <c r="AB14" s="23" t="n">
        <f aca="false">AB8+AB13</f>
        <v>1485.69801235464</v>
      </c>
      <c r="AC14" s="23" t="n">
        <f aca="false">AC8+AC13</f>
        <v>1557.03285652382</v>
      </c>
      <c r="AD14" s="23" t="n">
        <f aca="false">AD8+AD13</f>
        <v>1631.13288436627</v>
      </c>
      <c r="AE14" s="23" t="n">
        <f aca="false">AE8+AE13</f>
        <v>1708.17036360184</v>
      </c>
      <c r="AF14" s="23" t="n">
        <f aca="false">AF8+AF13</f>
        <v>1788.31990696305</v>
      </c>
      <c r="AG14" s="23" t="n">
        <f aca="false">AG8+AG13</f>
        <v>1871.75920657877</v>
      </c>
      <c r="AH14" s="23" t="n">
        <f aca="false">AH8+AH13</f>
        <v>1958.66972714147</v>
      </c>
      <c r="AI14" s="23" t="n">
        <f aca="false">AI8+AI13</f>
        <v>2049.23736484284</v>
      </c>
      <c r="AJ14" s="23" t="n">
        <f aca="false">AJ8+AJ13</f>
        <v>2143.65307832057</v>
      </c>
      <c r="AK14" s="23" t="n">
        <f aca="false">AK8+AK13</f>
        <v>2242.1134972104</v>
      </c>
      <c r="AL14" s="23" t="n">
        <f aca="false">AL8+AL13</f>
        <v>2344.82151333002</v>
      </c>
      <c r="AM14" s="23" t="n">
        <f aca="false">AM8+AM13</f>
        <v>2451.98685902779</v>
      </c>
      <c r="AN14" s="23" t="n">
        <f aca="false">AN8+AN13</f>
        <v>2563.82667679827</v>
      </c>
      <c r="AO14" s="23" t="n">
        <f aca="false">AO8+AO13</f>
        <v>2680.56608389308</v>
      </c>
      <c r="AP14" s="23" t="n">
        <f aca="false">AP8+AP13</f>
        <v>2802.43873533176</v>
      </c>
      <c r="AQ14" s="23" t="n">
        <f aca="false">AQ8+AQ13</f>
        <v>2929.68738843756</v>
      </c>
      <c r="AR14" s="23" t="n">
        <f aca="false">AR8+AR13</f>
        <v>3062.56447178288</v>
      </c>
      <c r="AS14" s="23" t="n">
        <f aca="false">AS8+AS13</f>
        <v>3201.33266122345</v>
      </c>
      <c r="AT14" s="23" t="n">
        <f aca="false">AT8+AT13</f>
        <v>3346.26546552525</v>
      </c>
      <c r="AU14" s="23" t="n">
        <f aca="false">AU8+AU13</f>
        <v>3497.64782394139</v>
      </c>
      <c r="AV14" s="23" t="n">
        <f aca="false">AV8+AV13</f>
        <v>3655.77671797253</v>
      </c>
      <c r="AW14" s="23" t="n">
        <f aca="false">AW8+AW13</f>
        <v>3820.96179944405</v>
      </c>
      <c r="AX14" s="23" t="n">
        <f aca="false">AX8+AX13</f>
        <v>3993.52603695109</v>
      </c>
      <c r="AY14" s="23" t="n">
        <f aca="false">AY8+AY13</f>
        <v>4173.8063826588</v>
      </c>
      <c r="AZ14" s="23" t="n">
        <f aca="false">AZ8+AZ13</f>
        <v>4362.15446139686</v>
      </c>
      <c r="BA14" s="23" t="n">
        <f aca="false">BA8+BA13</f>
        <v>4558.93728395329</v>
      </c>
      <c r="BB14" s="23" t="n">
        <f aca="false">BB8+BB13</f>
        <v>4764.53798645145</v>
      </c>
      <c r="BC14" s="23" t="n">
        <f aca="false">BC8+BC13</f>
        <v>4979.356597685</v>
      </c>
      <c r="BD14" s="23" t="n">
        <f aca="false">BD8+BD13</f>
        <v>5203.81083628692</v>
      </c>
      <c r="BE14" s="23" t="n">
        <f aca="false">BE8+BE13</f>
        <v>5438.33693962019</v>
      </c>
      <c r="BF14" s="23" t="n">
        <f aca="false">BF8+BF13</f>
        <v>5683.39052629847</v>
      </c>
      <c r="BG14" s="23" t="n">
        <f aca="false">BG8+BG13</f>
        <v>5938.94284049572</v>
      </c>
      <c r="BH14" s="23" t="n">
        <f aca="false">BH8+BH13</f>
        <v>6165.53349794505</v>
      </c>
      <c r="BI14" s="23" t="n">
        <f aca="false">BI8+BI13</f>
        <v>6366.71373792072</v>
      </c>
      <c r="BJ14" s="23" t="n">
        <f aca="false">BJ8+BJ13</f>
        <v>6545.60969351556</v>
      </c>
      <c r="BK14" s="23" t="n">
        <f aca="false">BK8+BK13</f>
        <v>6704.78403819031</v>
      </c>
    </row>
    <row r="16" customFormat="false" ht="15" hidden="false" customHeight="false" outlineLevel="0" collapsed="false">
      <c r="A16" s="12" t="s">
        <v>153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</row>
    <row r="17" customFormat="false" ht="15" hidden="false" customHeight="false" outlineLevel="0" collapsed="false">
      <c r="A17" s="9" t="s">
        <v>154</v>
      </c>
      <c r="B17" s="19" t="s">
        <v>155</v>
      </c>
      <c r="C17" s="22" t="n">
        <v>0</v>
      </c>
      <c r="D17" s="22" t="n">
        <f aca="false">D11*Premissas!$C$5</f>
        <v>0</v>
      </c>
      <c r="E17" s="22" t="n">
        <f aca="false">E11*Premissas!$C$5</f>
        <v>0</v>
      </c>
      <c r="F17" s="22" t="n">
        <f aca="false">F11*Premissas!$C$5</f>
        <v>955.2</v>
      </c>
      <c r="G17" s="22" t="n">
        <f aca="false">G11*Premissas!$C$5</f>
        <v>1896.072</v>
      </c>
      <c r="H17" s="22" t="n">
        <f aca="false">H11*Premissas!$C$5</f>
        <v>2825.40996</v>
      </c>
      <c r="I17" s="22" t="n">
        <f aca="false">I11*Premissas!$C$5</f>
        <v>3745.927245</v>
      </c>
      <c r="J17" s="22" t="n">
        <f aca="false">J11*Premissas!$C$5</f>
        <v>4660.265377617</v>
      </c>
      <c r="K17" s="22" t="n">
        <f aca="false">K11*Premissas!$C$5</f>
        <v>5571.00244180624</v>
      </c>
      <c r="L17" s="22" t="n">
        <f aca="false">L11*Premissas!$C$5</f>
        <v>6480.66116655222</v>
      </c>
      <c r="M17" s="22" t="n">
        <f aca="false">M11*Premissas!$C$5</f>
        <v>7391.71671701988</v>
      </c>
      <c r="N17" s="22" t="n">
        <f aca="false">N11*Premissas!$C$5</f>
        <v>8306.60421938021</v>
      </c>
      <c r="O17" s="22" t="n">
        <f aca="false">O11*Premissas!$C$5</f>
        <v>9227.72604434109</v>
      </c>
      <c r="P17" s="22" t="n">
        <f aca="false">P11*Premissas!$C$5</f>
        <v>10157.4588733199</v>
      </c>
      <c r="Q17" s="22" t="n">
        <f aca="false">Q11*Premissas!$C$5</f>
        <v>11098.1605701837</v>
      </c>
      <c r="R17" s="22" t="n">
        <f aca="false">R11*Premissas!$C$5</f>
        <v>12052.1768805526</v>
      </c>
      <c r="S17" s="22" t="n">
        <f aca="false">S11*Premissas!$C$5</f>
        <v>13021.8479798054</v>
      </c>
      <c r="T17" s="22" t="n">
        <f aca="false">T11*Premissas!$C$5</f>
        <v>14009.5148901469</v>
      </c>
      <c r="U17" s="22" t="n">
        <f aca="false">U11*Premissas!$C$5</f>
        <v>15017.5257863787</v>
      </c>
      <c r="V17" s="22" t="n">
        <f aca="false">V11*Premissas!$C$5</f>
        <v>16048.2422093705</v>
      </c>
      <c r="W17" s="22" t="n">
        <f aca="false">W11*Premissas!$C$5</f>
        <v>17104.0452056406</v>
      </c>
      <c r="X17" s="22" t="n">
        <f aca="false">X11*Premissas!$C$5</f>
        <v>18187.341410932</v>
      </c>
      <c r="Y17" s="22" t="n">
        <f aca="false">Y11*Premissas!$C$5</f>
        <v>19300.5690951992</v>
      </c>
      <c r="Z17" s="22" t="n">
        <f aca="false">Z11*Premissas!$C$5</f>
        <v>20446.204186012</v>
      </c>
      <c r="AA17" s="22" t="n">
        <f aca="false">AA11*Premissas!$C$5</f>
        <v>21626.7662870195</v>
      </c>
      <c r="AB17" s="22" t="n">
        <f aca="false">AB11*Premissas!$C$5</f>
        <v>22844.8247078143</v>
      </c>
      <c r="AC17" s="22" t="n">
        <f aca="false">AC11*Premissas!$C$5</f>
        <v>24103.004521272</v>
      </c>
      <c r="AD17" s="22" t="n">
        <f aca="false">AD11*Premissas!$C$5</f>
        <v>25403.9926642389</v>
      </c>
      <c r="AE17" s="22" t="n">
        <f aca="false">AE11*Premissas!$C$5</f>
        <v>26750.5440972688</v>
      </c>
      <c r="AF17" s="22" t="n">
        <f aca="false">AF11*Premissas!$C$5</f>
        <v>28145.4880389967</v>
      </c>
      <c r="AG17" s="22" t="n">
        <f aca="false">AG11*Premissas!$C$5</f>
        <v>29591.7342906613</v>
      </c>
      <c r="AH17" s="22" t="n">
        <f aca="false">AH11*Premissas!$C$5</f>
        <v>31092.2796662563</v>
      </c>
      <c r="AI17" s="22" t="n">
        <f aca="false">AI11*Premissas!$C$5</f>
        <v>32650.214543802</v>
      </c>
      <c r="AJ17" s="22" t="n">
        <f aca="false">AJ11*Premissas!$C$5</f>
        <v>34268.7295532835</v>
      </c>
      <c r="AK17" s="22" t="n">
        <f aca="false">AK11*Premissas!$C$5</f>
        <v>35951.1224168911</v>
      </c>
      <c r="AL17" s="22" t="n">
        <f aca="false">AL11*Premissas!$C$5</f>
        <v>37700.8049573383</v>
      </c>
      <c r="AM17" s="22" t="n">
        <f aca="false">AM11*Premissas!$C$5</f>
        <v>39521.3102902045</v>
      </c>
      <c r="AN17" s="22" t="n">
        <f aca="false">AN11*Premissas!$C$5</f>
        <v>41416.3002164625</v>
      </c>
      <c r="AO17" s="22" t="n">
        <f aca="false">AO11*Premissas!$C$5</f>
        <v>43389.5728316102</v>
      </c>
      <c r="AP17" s="22" t="n">
        <f aca="false">AP11*Premissas!$C$5</f>
        <v>45445.0703681151</v>
      </c>
      <c r="AQ17" s="22" t="n">
        <f aca="false">AQ11*Premissas!$C$5</f>
        <v>47586.8872882178</v>
      </c>
      <c r="AR17" s="22" t="n">
        <f aca="false">AR11*Premissas!$C$5</f>
        <v>49819.2786445129</v>
      </c>
      <c r="AS17" s="22" t="n">
        <f aca="false">AS11*Premissas!$C$5</f>
        <v>52146.6687261417</v>
      </c>
      <c r="AT17" s="22" t="n">
        <f aca="false">AT11*Premissas!$C$5</f>
        <v>54573.6600088862</v>
      </c>
      <c r="AU17" s="22" t="n">
        <f aca="false">AU11*Premissas!$C$5</f>
        <v>57105.0424279502</v>
      </c>
      <c r="AV17" s="22" t="n">
        <f aca="false">AV11*Premissas!$C$5</f>
        <v>59745.8029927523</v>
      </c>
      <c r="AW17" s="22" t="n">
        <f aca="false">AW11*Premissas!$C$5</f>
        <v>62501.1357636377</v>
      </c>
      <c r="AX17" s="22" t="n">
        <f aca="false">AX11*Premissas!$C$5</f>
        <v>65376.4522110403</v>
      </c>
      <c r="AY17" s="22" t="n">
        <f aca="false">AY11*Premissas!$C$5</f>
        <v>68377.3919782937</v>
      </c>
      <c r="AZ17" s="22" t="n">
        <f aca="false">AZ11*Premissas!$C$5</f>
        <v>71509.8340700081</v>
      </c>
      <c r="BA17" s="22" t="n">
        <f aca="false">BA11*Premissas!$C$5</f>
        <v>74779.9084886882</v>
      </c>
      <c r="BB17" s="22" t="n">
        <f aca="false">BB11*Premissas!$C$5</f>
        <v>78194.0083430771</v>
      </c>
      <c r="BC17" s="22" t="n">
        <f aca="false">BC11*Premissas!$C$5</f>
        <v>81758.8024525696</v>
      </c>
      <c r="BD17" s="22" t="n">
        <f aca="false">BD11*Premissas!$C$5</f>
        <v>85481.248472946</v>
      </c>
      <c r="BE17" s="22" t="n">
        <f aca="false">BE11*Premissas!$C$5</f>
        <v>89368.6065696387</v>
      </c>
      <c r="BF17" s="22" t="n">
        <f aca="false">BF11*Premissas!$C$5</f>
        <v>93428.453665758</v>
      </c>
      <c r="BG17" s="22" t="n">
        <f aca="false">BG11*Premissas!$C$5</f>
        <v>97668.6982931735</v>
      </c>
      <c r="BH17" s="22" t="n">
        <f aca="false">BH11*Premissas!$C$5</f>
        <v>102097.596076075</v>
      </c>
      <c r="BI17" s="22" t="n">
        <f aca="false">BI11*Premissas!$C$5</f>
        <v>106717.740311511</v>
      </c>
      <c r="BJ17" s="22" t="n">
        <f aca="false">BJ11*Premissas!$C$5</f>
        <v>111060.67589282</v>
      </c>
      <c r="BK17" s="22" t="n">
        <f aca="false">BK11*Premissas!$C$5</f>
        <v>115143.035339251</v>
      </c>
    </row>
    <row r="18" customFormat="false" ht="15" hidden="false" customHeight="false" outlineLevel="0" collapsed="false">
      <c r="A18" s="9" t="s">
        <v>156</v>
      </c>
      <c r="B18" s="19" t="s">
        <v>155</v>
      </c>
      <c r="C18" s="22" t="n">
        <v>0</v>
      </c>
      <c r="D18" s="22" t="n">
        <f aca="false">D12*Premissas!$C$6</f>
        <v>0</v>
      </c>
      <c r="E18" s="22" t="n">
        <f aca="false">E12*Premissas!$C$6</f>
        <v>0</v>
      </c>
      <c r="F18" s="22" t="n">
        <f aca="false">F12*Premissas!$C$6</f>
        <v>638.4</v>
      </c>
      <c r="G18" s="22" t="n">
        <f aca="false">G12*Premissas!$C$6</f>
        <v>1267.224</v>
      </c>
      <c r="H18" s="22" t="n">
        <f aca="false">H12*Premissas!$C$6</f>
        <v>1888.33932</v>
      </c>
      <c r="I18" s="22" t="n">
        <f aca="false">I12*Premissas!$C$6</f>
        <v>2503.559415</v>
      </c>
      <c r="J18" s="22" t="n">
        <f aca="false">J12*Premissas!$C$6</f>
        <v>3114.649724739</v>
      </c>
      <c r="K18" s="22" t="n">
        <f aca="false">K12*Premissas!$C$6</f>
        <v>3723.33329025242</v>
      </c>
      <c r="L18" s="22" t="n">
        <f aca="false">L12*Premissas!$C$6</f>
        <v>4331.29615653992</v>
      </c>
      <c r="M18" s="22" t="n">
        <f aca="false">M12*Premissas!$C$6</f>
        <v>4940.1925797168</v>
      </c>
      <c r="N18" s="22" t="n">
        <f aca="false">N12*Premissas!$C$6</f>
        <v>5551.65005616868</v>
      </c>
      <c r="O18" s="22" t="n">
        <f aca="false">O12*Premissas!$C$6</f>
        <v>6167.27419043902</v>
      </c>
      <c r="P18" s="22" t="n">
        <f aca="false">P12*Premissas!$C$6</f>
        <v>6788.65341784696</v>
      </c>
      <c r="Q18" s="22" t="n">
        <f aca="false">Q12*Premissas!$C$6</f>
        <v>7417.36359715797</v>
      </c>
      <c r="R18" s="22" t="n">
        <f aca="false">R12*Premissas!$C$6</f>
        <v>8054.9724880075</v>
      </c>
      <c r="S18" s="22" t="n">
        <f aca="false">S12*Premissas!$C$6</f>
        <v>8703.0441272066</v>
      </c>
      <c r="T18" s="22" t="n">
        <f aca="false">T12*Premissas!$C$6</f>
        <v>9363.14311753535</v>
      </c>
      <c r="U18" s="22" t="n">
        <f aca="false">U12*Premissas!$C$6</f>
        <v>10036.8388421526</v>
      </c>
      <c r="V18" s="22" t="n">
        <f aca="false">V12*Premissas!$C$6</f>
        <v>10725.709617318</v>
      </c>
      <c r="W18" s="22" t="n">
        <f aca="false">W12*Premissas!$C$6</f>
        <v>11431.3467957297</v>
      </c>
      <c r="X18" s="22" t="n">
        <f aca="false">X12*Premissas!$C$6</f>
        <v>12155.3588324319</v>
      </c>
      <c r="Y18" s="22" t="n">
        <f aca="false">Y12*Premissas!$C$6</f>
        <v>12899.3753249321</v>
      </c>
      <c r="Z18" s="22" t="n">
        <f aca="false">Z12*Premissas!$C$6</f>
        <v>13665.0510388924</v>
      </c>
      <c r="AA18" s="22" t="n">
        <f aca="false">AA12*Premissas!$C$6</f>
        <v>14454.0699305206</v>
      </c>
      <c r="AB18" s="22" t="n">
        <f aca="false">AB12*Premissas!$C$6</f>
        <v>15268.1491765794</v>
      </c>
      <c r="AC18" s="22" t="n">
        <f aca="false">AC12*Premissas!$C$6</f>
        <v>16109.0432227597</v>
      </c>
      <c r="AD18" s="22" t="n">
        <f aca="false">AD12*Premissas!$C$6</f>
        <v>16978.547861024</v>
      </c>
      <c r="AE18" s="22" t="n">
        <f aca="false">AE12*Premissas!$C$6</f>
        <v>17878.5043464158</v>
      </c>
      <c r="AF18" s="22" t="n">
        <f aca="false">AF12*Premissas!$C$6</f>
        <v>18810.8035637516</v>
      </c>
      <c r="AG18" s="22" t="n">
        <f aca="false">AG12*Premissas!$C$6</f>
        <v>19777.3902545626</v>
      </c>
      <c r="AH18" s="22" t="n">
        <f aca="false">AH12*Premissas!$C$6</f>
        <v>20780.2673146336</v>
      </c>
      <c r="AI18" s="22" t="n">
        <f aca="false">AI12*Premissas!$C$6</f>
        <v>21821.5001724908</v>
      </c>
      <c r="AJ18" s="22" t="n">
        <f aca="false">AJ12*Premissas!$C$6</f>
        <v>22903.2212592297</v>
      </c>
      <c r="AK18" s="22" t="n">
        <f aca="false">AK12*Premissas!$C$6</f>
        <v>24027.6345801332</v>
      </c>
      <c r="AL18" s="22" t="n">
        <f aca="false">AL12*Premissas!$C$6</f>
        <v>25197.0203986231</v>
      </c>
      <c r="AM18" s="22" t="n">
        <f aca="false">AM12*Premissas!$C$6</f>
        <v>26413.740043202</v>
      </c>
      <c r="AN18" s="22" t="n">
        <f aca="false">AN12*Premissas!$C$6</f>
        <v>27680.2408481885</v>
      </c>
      <c r="AO18" s="22" t="n">
        <f aca="false">AO12*Premissas!$C$6</f>
        <v>28999.0612392169</v>
      </c>
      <c r="AP18" s="22" t="n">
        <f aca="false">AP12*Premissas!$C$6</f>
        <v>30372.8359746699</v>
      </c>
      <c r="AQ18" s="22" t="n">
        <f aca="false">AQ12*Premissas!$C$6</f>
        <v>31804.301554437</v>
      </c>
      <c r="AR18" s="22" t="n">
        <f aca="false">AR12*Premissas!$C$6</f>
        <v>33296.3018076393</v>
      </c>
      <c r="AS18" s="22" t="n">
        <f aca="false">AS12*Premissas!$C$6</f>
        <v>34851.7936712404</v>
      </c>
      <c r="AT18" s="22" t="n">
        <f aca="false">AT12*Premissas!$C$6</f>
        <v>36473.8531717682</v>
      </c>
      <c r="AU18" s="22" t="n">
        <f aca="false">AU12*Premissas!$C$6</f>
        <v>38165.6816227004</v>
      </c>
      <c r="AV18" s="22" t="n">
        <f aca="false">AV12*Premissas!$C$6</f>
        <v>39930.6120504324</v>
      </c>
      <c r="AW18" s="22" t="n">
        <f aca="false">AW12*Premissas!$C$6</f>
        <v>41772.1158621297</v>
      </c>
      <c r="AX18" s="22" t="n">
        <f aca="false">AX12*Premissas!$C$6</f>
        <v>43693.8097691877</v>
      </c>
      <c r="AY18" s="22" t="n">
        <f aca="false">AY12*Premissas!$C$6</f>
        <v>45699.4629804676</v>
      </c>
      <c r="AZ18" s="22" t="n">
        <f aca="false">AZ12*Premissas!$C$6</f>
        <v>47793.0046799552</v>
      </c>
      <c r="BA18" s="22" t="n">
        <f aca="false">BA12*Premissas!$C$6</f>
        <v>49978.5318039976</v>
      </c>
      <c r="BB18" s="22" t="n">
        <f aca="false">BB12*Premissas!$C$6</f>
        <v>52260.3171338153</v>
      </c>
      <c r="BC18" s="22" t="n">
        <f aca="false">BC12*Premissas!$C$6</f>
        <v>54642.8177195565</v>
      </c>
      <c r="BD18" s="22" t="n">
        <f aca="false">BD12*Premissas!$C$6</f>
        <v>57130.683652773</v>
      </c>
      <c r="BE18" s="22" t="n">
        <f aca="false">BE12*Premissas!$C$6</f>
        <v>59728.7672048339</v>
      </c>
      <c r="BF18" s="22" t="n">
        <f aca="false">BF12*Premissas!$C$6</f>
        <v>62442.1323494765</v>
      </c>
      <c r="BG18" s="22" t="n">
        <f aca="false">BG12*Premissas!$C$6</f>
        <v>65276.0646884024</v>
      </c>
      <c r="BH18" s="22" t="n">
        <f aca="false">BH12*Premissas!$C$6</f>
        <v>68236.0817995881</v>
      </c>
      <c r="BI18" s="22" t="n">
        <f aca="false">BI12*Premissas!$C$6</f>
        <v>71323.9168916128</v>
      </c>
      <c r="BJ18" s="22" t="n">
        <f aca="false">BJ12*Premissas!$C$6</f>
        <v>74226.481878116</v>
      </c>
      <c r="BK18" s="22" t="n">
        <f aca="false">BK12*Premissas!$C$6</f>
        <v>76954.8929654291</v>
      </c>
    </row>
    <row r="19" customFormat="false" ht="15" hidden="false" customHeight="false" outlineLevel="0" collapsed="false">
      <c r="A19" s="9" t="s">
        <v>157</v>
      </c>
      <c r="B19" s="19" t="s">
        <v>158</v>
      </c>
      <c r="C19" s="24" t="n">
        <v>0</v>
      </c>
      <c r="D19" s="24" t="n">
        <f aca="false">D13*Premissas!$C$18</f>
        <v>0</v>
      </c>
      <c r="E19" s="24" t="n">
        <f aca="false">E13*Premissas!$C$18</f>
        <v>0</v>
      </c>
      <c r="F19" s="24" t="n">
        <f aca="false">F13*Premissas!$C$18</f>
        <v>32</v>
      </c>
      <c r="G19" s="24" t="n">
        <f aca="false">G13*Premissas!$C$18</f>
        <v>63.52</v>
      </c>
      <c r="H19" s="24" t="n">
        <f aca="false">H13*Premissas!$C$18</f>
        <v>94.6536</v>
      </c>
      <c r="I19" s="24" t="n">
        <f aca="false">I13*Premissas!$C$18</f>
        <v>125.4917</v>
      </c>
      <c r="J19" s="24" t="n">
        <f aca="false">J13*Premissas!$C$18</f>
        <v>156.12279322</v>
      </c>
      <c r="K19" s="24" t="n">
        <f aca="false">K13*Premissas!$C$18</f>
        <v>186.6332476317</v>
      </c>
      <c r="L19" s="24" t="n">
        <f aca="false">L13*Premissas!$C$18</f>
        <v>217.107576768918</v>
      </c>
      <c r="M19" s="24" t="n">
        <f aca="false">M13*Premissas!$C$18</f>
        <v>247.628700737684</v>
      </c>
      <c r="N19" s="24" t="n">
        <f aca="false">N13*Premissas!$C$18</f>
        <v>278.278198304195</v>
      </c>
      <c r="O19" s="24" t="n">
        <f aca="false">O13*Premissas!$C$18</f>
        <v>309.136550899199</v>
      </c>
      <c r="P19" s="24" t="n">
        <f aca="false">P13*Premissas!$C$18</f>
        <v>340.2833793407</v>
      </c>
      <c r="Q19" s="24" t="n">
        <f aca="false">Q13*Premissas!$C$18</f>
        <v>371.797674043006</v>
      </c>
      <c r="R19" s="24" t="n">
        <f aca="false">R13*Premissas!$C$18</f>
        <v>403.758019448997</v>
      </c>
      <c r="S19" s="24" t="n">
        <f aca="false">S13*Premissas!$C$18</f>
        <v>436.242813393815</v>
      </c>
      <c r="T19" s="24" t="n">
        <f aca="false">T13*Premissas!$C$18</f>
        <v>469.330482081972</v>
      </c>
      <c r="U19" s="24" t="n">
        <f aca="false">U13*Premissas!$C$18</f>
        <v>503.099691335971</v>
      </c>
      <c r="V19" s="24" t="n">
        <f aca="false">V13*Premissas!$C$18</f>
        <v>537.629554752781</v>
      </c>
      <c r="W19" s="24" t="n">
        <f aca="false">W13*Premissas!$C$18</f>
        <v>572.999839384946</v>
      </c>
      <c r="X19" s="24" t="n">
        <f aca="false">X13*Premissas!$C$18</f>
        <v>609.291169545461</v>
      </c>
      <c r="Y19" s="24" t="n">
        <f aca="false">Y13*Premissas!$C$18</f>
        <v>646.585229319907</v>
      </c>
      <c r="Z19" s="24" t="n">
        <f aca="false">Z13*Premissas!$C$18</f>
        <v>684.96496435551</v>
      </c>
      <c r="AA19" s="24" t="n">
        <f aca="false">AA13*Premissas!$C$18</f>
        <v>724.514783484742</v>
      </c>
      <c r="AB19" s="24" t="n">
        <f aca="false">AB13*Premissas!$C$18</f>
        <v>765.320760730796</v>
      </c>
      <c r="AC19" s="24" t="n">
        <f aca="false">AC13*Premissas!$C$18</f>
        <v>807.470838233567</v>
      </c>
      <c r="AD19" s="24" t="n">
        <f aca="false">AD13*Premissas!$C$18</f>
        <v>851.05503062777</v>
      </c>
      <c r="AE19" s="24" t="n">
        <f aca="false">AE13*Premissas!$C$18</f>
        <v>896.165631399291</v>
      </c>
      <c r="AF19" s="24" t="n">
        <f aca="false">AF13*Premissas!$C$18</f>
        <v>942.897421741934</v>
      </c>
      <c r="AG19" s="24" t="n">
        <f aca="false">AG13*Premissas!$C$18</f>
        <v>991.347882434215</v>
      </c>
      <c r="AH19" s="24" t="n">
        <f aca="false">AH13*Premissas!$C$18</f>
        <v>1041.61740925482</v>
      </c>
      <c r="AI19" s="24" t="n">
        <f aca="false">AI13*Premissas!$C$18</f>
        <v>1093.80953245568</v>
      </c>
      <c r="AJ19" s="24" t="n">
        <f aca="false">AJ13*Premissas!$C$18</f>
        <v>1148.03114081352</v>
      </c>
      <c r="AK19" s="24" t="n">
        <f aca="false">AK13*Premissas!$C$18</f>
        <v>1204.39271078362</v>
      </c>
      <c r="AL19" s="24" t="n">
        <f aca="false">AL13*Premissas!$C$18</f>
        <v>1263.00854128437</v>
      </c>
      <c r="AM19" s="24" t="n">
        <f aca="false">AM13*Premissas!$C$18</f>
        <v>1323.99699464672</v>
      </c>
      <c r="AN19" s="24" t="n">
        <f aca="false">AN13*Premissas!$C$18</f>
        <v>1387.4807442701</v>
      </c>
      <c r="AO19" s="24" t="n">
        <f aca="false">AO13*Premissas!$C$18</f>
        <v>1453.58702953468</v>
      </c>
      <c r="AP19" s="24" t="n">
        <f aca="false">AP13*Premissas!$C$18</f>
        <v>1522.44791852982</v>
      </c>
      <c r="AQ19" s="24" t="n">
        <f aca="false">AQ13*Premissas!$C$18</f>
        <v>1594.20057916978</v>
      </c>
      <c r="AR19" s="24" t="n">
        <f aca="false">AR13*Premissas!$C$18</f>
        <v>1668.98755928016</v>
      </c>
      <c r="AS19" s="24" t="n">
        <f aca="false">AS13*Premissas!$C$18</f>
        <v>1746.95707625265</v>
      </c>
      <c r="AT19" s="24" t="n">
        <f aca="false">AT13*Premissas!$C$18</f>
        <v>1828.26331688061</v>
      </c>
      <c r="AU19" s="24" t="n">
        <f aca="false">AU13*Premissas!$C$18</f>
        <v>1913.06674800503</v>
      </c>
      <c r="AV19" s="24" t="n">
        <f aca="false">AV13*Premissas!$C$18</f>
        <v>2001.53443861817</v>
      </c>
      <c r="AW19" s="24" t="n">
        <f aca="false">AW13*Premissas!$C$18</f>
        <v>2093.84039409172</v>
      </c>
      <c r="AX19" s="24" t="n">
        <f aca="false">AX13*Premissas!$C$18</f>
        <v>2190.16590321743</v>
      </c>
      <c r="AY19" s="24" t="n">
        <f aca="false">AY13*Premissas!$C$18</f>
        <v>2290.69989877031</v>
      </c>
      <c r="AZ19" s="24" t="n">
        <f aca="false">AZ13*Premissas!$C$18</f>
        <v>2395.63933232858</v>
      </c>
      <c r="BA19" s="24" t="n">
        <f aca="false">BA13*Premissas!$C$18</f>
        <v>2505.18956411016</v>
      </c>
      <c r="BB19" s="24" t="n">
        <f aca="false">BB13*Premissas!$C$18</f>
        <v>2619.5647686123</v>
      </c>
      <c r="BC19" s="24" t="n">
        <f aca="false">BC13*Premissas!$C$18</f>
        <v>2738.98835687</v>
      </c>
      <c r="BD19" s="24" t="n">
        <f aca="false">BD13*Premissas!$C$18</f>
        <v>2863.6934161791</v>
      </c>
      <c r="BE19" s="24" t="n">
        <f aca="false">BE13*Premissas!$C$18</f>
        <v>2993.9231681621</v>
      </c>
      <c r="BF19" s="24" t="n">
        <f aca="false">BF13*Premissas!$C$18</f>
        <v>3129.93144608905</v>
      </c>
      <c r="BG19" s="24" t="n">
        <f aca="false">BG13*Premissas!$C$18</f>
        <v>3271.98319240112</v>
      </c>
      <c r="BH19" s="24" t="n">
        <f aca="false">BH13*Premissas!$C$18</f>
        <v>3420.35497742296</v>
      </c>
      <c r="BI19" s="24" t="n">
        <f aca="false">BI13*Premissas!$C$18</f>
        <v>3575.13367877758</v>
      </c>
      <c r="BJ19" s="24" t="n">
        <f aca="false">BJ13*Premissas!$C$18</f>
        <v>3720.62565805093</v>
      </c>
      <c r="BK19" s="24" t="n">
        <f aca="false">BK13*Premissas!$C$18</f>
        <v>3857.38811856787</v>
      </c>
    </row>
    <row r="20" customFormat="false" ht="15" hidden="false" customHeight="false" outlineLevel="0" collapsed="false">
      <c r="A20" s="9" t="s">
        <v>159</v>
      </c>
      <c r="B20" s="19" t="s">
        <v>158</v>
      </c>
      <c r="C20" s="24" t="n">
        <v>0</v>
      </c>
      <c r="D20" s="24" t="n">
        <f aca="false">D8*Premissas!$C$19</f>
        <v>56</v>
      </c>
      <c r="E20" s="24" t="n">
        <f aca="false">E8*Premissas!$C$19</f>
        <v>107.8</v>
      </c>
      <c r="F20" s="24" t="n">
        <f aca="false">F8*Premissas!$C$19</f>
        <v>151.5374</v>
      </c>
      <c r="G20" s="24" t="n">
        <f aca="false">G8*Premissas!$C$19</f>
        <v>192.576615</v>
      </c>
      <c r="H20" s="24" t="n">
        <f aca="false">H8*Premissas!$C$19</f>
        <v>231.356190835</v>
      </c>
      <c r="I20" s="24" t="n">
        <f aca="false">I8*Premissas!$C$19</f>
        <v>268.267212203375</v>
      </c>
      <c r="J20" s="24" t="n">
        <f aca="false">J8*Premissas!$C$19</f>
        <v>303.659230399631</v>
      </c>
      <c r="K20" s="24" t="n">
        <f aca="false">K8*Premissas!$C$19</f>
        <v>337.845490177066</v>
      </c>
      <c r="L20" s="24" t="n">
        <f aca="false">L8*Premissas!$C$19</f>
        <v>371.107540315351</v>
      </c>
      <c r="M20" s="24" t="n">
        <f aca="false">M8*Premissas!$C$19</f>
        <v>403.699302340221</v>
      </c>
      <c r="N20" s="24" t="n">
        <f aca="false">N8*Premissas!$C$19</f>
        <v>435.850662930929</v>
      </c>
      <c r="O20" s="24" t="n">
        <f aca="false">O8*Premissas!$C$19</f>
        <v>467.770647709971</v>
      </c>
      <c r="P20" s="24" t="n">
        <f aca="false">P8*Premissas!$C$19</f>
        <v>499.650227210411</v>
      </c>
      <c r="Q20" s="24" t="n">
        <f aca="false">Q8*Premissas!$C$19</f>
        <v>531.664799745953</v>
      </c>
      <c r="R20" s="24" t="n">
        <f aca="false">R8*Premissas!$C$19</f>
        <v>563.976390568265</v>
      </c>
      <c r="S20" s="24" t="n">
        <f aca="false">S8*Premissas!$C$19</f>
        <v>596.735601997531</v>
      </c>
      <c r="T20" s="24" t="n">
        <f aca="false">T8*Premissas!$C$19</f>
        <v>630.083345078672</v>
      </c>
      <c r="U20" s="24" t="n">
        <f aca="false">U8*Premissas!$C$19</f>
        <v>664.152379679513</v>
      </c>
      <c r="V20" s="24" t="n">
        <f aca="false">V8*Premissas!$C$19</f>
        <v>699.068686748717</v>
      </c>
      <c r="W20" s="24" t="n">
        <f aca="false">W8*Premissas!$C$19</f>
        <v>734.952693637999</v>
      </c>
      <c r="X20" s="24" t="n">
        <f aca="false">X8*Premissas!$C$19</f>
        <v>771.920370919028</v>
      </c>
      <c r="Y20" s="24" t="n">
        <f aca="false">Y8*Premissas!$C$19</f>
        <v>810.084216949625</v>
      </c>
      <c r="Z20" s="24" t="n">
        <f aca="false">Z8*Premissas!$C$19</f>
        <v>849.554144530891</v>
      </c>
      <c r="AA20" s="24" t="n">
        <f aca="false">AA8*Premissas!$C$19</f>
        <v>890.438282315089</v>
      </c>
      <c r="AB20" s="24" t="n">
        <f aca="false">AB8*Premissas!$C$19</f>
        <v>932.843702145939</v>
      </c>
      <c r="AC20" s="24" t="n">
        <f aca="false">AC8*Premissas!$C$19</f>
        <v>976.877082213977</v>
      </c>
      <c r="AD20" s="24" t="n">
        <f aca="false">AD8*Premissas!$C$19</f>
        <v>1022.6453147685</v>
      </c>
      <c r="AE20" s="24" t="n">
        <f aca="false">AE8*Premissas!$C$19</f>
        <v>1070.25606612539</v>
      </c>
      <c r="AF20" s="24" t="n">
        <f aca="false">AF8*Premissas!$C$19</f>
        <v>1119.81829583026</v>
      </c>
      <c r="AG20" s="24" t="n">
        <f aca="false">AG8*Premissas!$C$19</f>
        <v>1171.44274106435</v>
      </c>
      <c r="AH20" s="24" t="n">
        <f aca="false">AH8*Premissas!$C$19</f>
        <v>1225.24237170336</v>
      </c>
      <c r="AI20" s="24" t="n">
        <f aca="false">AI8*Premissas!$C$19</f>
        <v>1281.33282084619</v>
      </c>
      <c r="AJ20" s="24" t="n">
        <f aca="false">AJ8*Premissas!$C$19</f>
        <v>1339.83279511051</v>
      </c>
      <c r="AK20" s="24" t="n">
        <f aca="false">AK8*Premissas!$C$19</f>
        <v>1400.86446853757</v>
      </c>
      <c r="AL20" s="24" t="n">
        <f aca="false">AL8*Premissas!$C$19</f>
        <v>1464.5538635512</v>
      </c>
      <c r="AM20" s="24" t="n">
        <f aca="false">AM8*Premissas!$C$19</f>
        <v>1531.03122206892</v>
      </c>
      <c r="AN20" s="24" t="n">
        <f aca="false">AN8*Premissas!$C$19</f>
        <v>1600.43136956098</v>
      </c>
      <c r="AO20" s="24" t="n">
        <f aca="false">AO8*Premissas!$C$19</f>
        <v>1672.8940745903</v>
      </c>
      <c r="AP20" s="24" t="n">
        <f aca="false">AP8*Premissas!$C$19</f>
        <v>1748.56440613806</v>
      </c>
      <c r="AQ20" s="24" t="n">
        <f aca="false">AQ8*Premissas!$C$19</f>
        <v>1827.59309082252</v>
      </c>
      <c r="AR20" s="24" t="n">
        <f aca="false">AR8*Premissas!$C$19</f>
        <v>1910.1368719488</v>
      </c>
      <c r="AS20" s="24" t="n">
        <f aca="false">AS8*Premissas!$C$19</f>
        <v>1996.35887218104</v>
      </c>
      <c r="AT20" s="24" t="n">
        <f aca="false">AT8*Premissas!$C$19</f>
        <v>2086.42896150439</v>
      </c>
      <c r="AU20" s="24" t="n">
        <f aca="false">AU8*Premissas!$C$19</f>
        <v>2180.52413203827</v>
      </c>
      <c r="AV20" s="24" t="n">
        <f aca="false">AV8*Premissas!$C$19</f>
        <v>2278.82888117423</v>
      </c>
      <c r="AW20" s="24" t="n">
        <f aca="false">AW8*Premissas!$C$19</f>
        <v>2381.535604438</v>
      </c>
      <c r="AX20" s="24" t="n">
        <f aca="false">AX8*Premissas!$C$19</f>
        <v>2488.84499941532</v>
      </c>
      <c r="AY20" s="24" t="n">
        <f aca="false">AY8*Premissas!$C$19</f>
        <v>2600.96648203331</v>
      </c>
      <c r="AZ20" s="24" t="n">
        <f aca="false">AZ8*Premissas!$C$19</f>
        <v>2718.1186164518</v>
      </c>
      <c r="BA20" s="24" t="n">
        <f aca="false">BA8*Premissas!$C$19</f>
        <v>2840.52955979188</v>
      </c>
      <c r="BB20" s="24" t="n">
        <f aca="false">BB8*Premissas!$C$19</f>
        <v>2968.43752291029</v>
      </c>
      <c r="BC20" s="24" t="n">
        <f aca="false">BC8*Premissas!$C$19</f>
        <v>3102.0912484177</v>
      </c>
      <c r="BD20" s="24" t="n">
        <f aca="false">BD8*Premissas!$C$19</f>
        <v>3241.75050713577</v>
      </c>
      <c r="BE20" s="24" t="n">
        <f aca="false">BE8*Premissas!$C$19</f>
        <v>3387.68661419144</v>
      </c>
      <c r="BF20" s="24" t="n">
        <f aca="false">BF8*Premissas!$C$19</f>
        <v>3540.18296595646</v>
      </c>
      <c r="BG20" s="24" t="n">
        <f aca="false">BG8*Premissas!$C$19</f>
        <v>3699.18234141085</v>
      </c>
      <c r="BH20" s="24" t="n">
        <f aca="false">BH8*Premissas!$C$19</f>
        <v>3837.02375172232</v>
      </c>
      <c r="BI20" s="24" t="n">
        <f aca="false">BI8*Premissas!$C$19</f>
        <v>3956.18090151564</v>
      </c>
      <c r="BJ20" s="24" t="n">
        <f aca="false">BJ8*Premissas!$C$19</f>
        <v>4061.03919333376</v>
      </c>
      <c r="BK20" s="24" t="n">
        <f aca="false">BK8*Premissas!$C$19</f>
        <v>4153.31449013371</v>
      </c>
    </row>
    <row r="21" customFormat="false" ht="15" hidden="false" customHeight="false" outlineLevel="0" collapsed="false">
      <c r="A21" s="9" t="s">
        <v>160</v>
      </c>
      <c r="B21" s="19" t="s">
        <v>155</v>
      </c>
      <c r="C21" s="22" t="n">
        <v>0</v>
      </c>
      <c r="D21" s="22" t="n">
        <f aca="false">(D19+D20)*Premissas!$C$22</f>
        <v>2240</v>
      </c>
      <c r="E21" s="22" t="n">
        <f aca="false">(E19+E20)*Premissas!$C$22</f>
        <v>4312</v>
      </c>
      <c r="F21" s="22" t="n">
        <f aca="false">(F19+F20)*Premissas!$C$22</f>
        <v>7341.496</v>
      </c>
      <c r="G21" s="22" t="n">
        <f aca="false">(G19+G20)*Premissas!$C$22</f>
        <v>10243.8646</v>
      </c>
      <c r="H21" s="22" t="n">
        <f aca="false">(H19+H20)*Premissas!$C$22</f>
        <v>13040.3916334</v>
      </c>
      <c r="I21" s="22" t="n">
        <f aca="false">(I19+I20)*Premissas!$C$22</f>
        <v>15750.356488135</v>
      </c>
      <c r="J21" s="22" t="n">
        <f aca="false">(J19+J20)*Premissas!$C$22</f>
        <v>18391.2809447852</v>
      </c>
      <c r="K21" s="22" t="n">
        <f aca="false">(K19+K20)*Premissas!$C$22</f>
        <v>20979.1495123506</v>
      </c>
      <c r="L21" s="22" t="n">
        <f aca="false">(L19+L20)*Premissas!$C$22</f>
        <v>23528.6046833708</v>
      </c>
      <c r="M21" s="22" t="n">
        <f aca="false">(M19+M20)*Premissas!$C$22</f>
        <v>26053.1201231162</v>
      </c>
      <c r="N21" s="22" t="n">
        <f aca="false">(N19+N20)*Premissas!$C$22</f>
        <v>28565.1544494049</v>
      </c>
      <c r="O21" s="22" t="n">
        <f aca="false">(O19+O20)*Premissas!$C$22</f>
        <v>31076.2879443668</v>
      </c>
      <c r="P21" s="22" t="n">
        <f aca="false">(P19+P20)*Premissas!$C$22</f>
        <v>33597.3442620444</v>
      </c>
      <c r="Q21" s="22" t="n">
        <f aca="false">(Q19+Q20)*Premissas!$C$22</f>
        <v>36138.4989515583</v>
      </c>
      <c r="R21" s="22" t="n">
        <f aca="false">(R19+R20)*Premissas!$C$22</f>
        <v>38709.3764006905</v>
      </c>
      <c r="S21" s="22" t="n">
        <f aca="false">(S19+S20)*Premissas!$C$22</f>
        <v>41319.1366156538</v>
      </c>
      <c r="T21" s="22" t="n">
        <f aca="false">(T19+T20)*Premissas!$C$22</f>
        <v>43976.5530864258</v>
      </c>
      <c r="U21" s="22" t="n">
        <f aca="false">(U19+U20)*Premissas!$C$22</f>
        <v>46690.0828406194</v>
      </c>
      <c r="V21" s="22" t="n">
        <f aca="false">(V19+V20)*Premissas!$C$22</f>
        <v>49467.9296600599</v>
      </c>
      <c r="W21" s="22" t="n">
        <f aca="false">(W19+W20)*Premissas!$C$22</f>
        <v>52318.1013209178</v>
      </c>
      <c r="X21" s="22" t="n">
        <f aca="false">(X19+X20)*Premissas!$C$22</f>
        <v>55248.4616185795</v>
      </c>
      <c r="Y21" s="22" t="n">
        <f aca="false">(Y19+Y20)*Premissas!$C$22</f>
        <v>58266.7778507813</v>
      </c>
      <c r="Z21" s="22" t="n">
        <f aca="false">(Z19+Z20)*Premissas!$C$22</f>
        <v>61380.764355456</v>
      </c>
      <c r="AA21" s="22" t="n">
        <f aca="false">(AA19+AA20)*Premissas!$C$22</f>
        <v>64598.1226319932</v>
      </c>
      <c r="AB21" s="22" t="n">
        <f aca="false">(AB19+AB20)*Premissas!$C$22</f>
        <v>67926.5785150694</v>
      </c>
      <c r="AC21" s="22" t="n">
        <f aca="false">(AC19+AC20)*Premissas!$C$22</f>
        <v>71373.9168179018</v>
      </c>
      <c r="AD21" s="22" t="n">
        <f aca="false">(AD19+AD20)*Premissas!$C$22</f>
        <v>74948.0138158508</v>
      </c>
      <c r="AE21" s="22" t="n">
        <f aca="false">(AE19+AE20)*Premissas!$C$22</f>
        <v>78656.8679009872</v>
      </c>
      <c r="AF21" s="22" t="n">
        <f aca="false">(AF19+AF20)*Premissas!$C$22</f>
        <v>82508.6287028878</v>
      </c>
      <c r="AG21" s="22" t="n">
        <f aca="false">(AG19+AG20)*Premissas!$C$22</f>
        <v>86511.6249399425</v>
      </c>
      <c r="AH21" s="22" t="n">
        <f aca="false">(AH19+AH20)*Premissas!$C$22</f>
        <v>90674.3912383269</v>
      </c>
      <c r="AI21" s="22" t="n">
        <f aca="false">(AI19+AI20)*Premissas!$C$22</f>
        <v>95005.6941320748</v>
      </c>
      <c r="AJ21" s="22" t="n">
        <f aca="false">(AJ19+AJ20)*Premissas!$C$22</f>
        <v>99514.5574369611</v>
      </c>
      <c r="AK21" s="22" t="n">
        <f aca="false">(AK19+AK20)*Premissas!$C$22</f>
        <v>104210.287172848</v>
      </c>
      <c r="AL21" s="22" t="n">
        <f aca="false">(AL19+AL20)*Premissas!$C$22</f>
        <v>109102.496193423</v>
      </c>
      <c r="AM21" s="22" t="n">
        <f aca="false">(AM19+AM20)*Premissas!$C$22</f>
        <v>114201.128668625</v>
      </c>
      <c r="AN21" s="22" t="n">
        <f aca="false">(AN19+AN20)*Premissas!$C$22</f>
        <v>119516.484553243</v>
      </c>
      <c r="AO21" s="22" t="n">
        <f aca="false">(AO19+AO20)*Premissas!$C$22</f>
        <v>125059.244164999</v>
      </c>
      <c r="AP21" s="22" t="n">
        <f aca="false">(AP19+AP20)*Premissas!$C$22</f>
        <v>130840.492986715</v>
      </c>
      <c r="AQ21" s="22" t="n">
        <f aca="false">(AQ19+AQ20)*Premissas!$C$22</f>
        <v>136871.746799692</v>
      </c>
      <c r="AR21" s="22" t="n">
        <f aca="false">(AR19+AR20)*Premissas!$C$22</f>
        <v>143164.977249158</v>
      </c>
      <c r="AS21" s="22" t="n">
        <f aca="false">(AS19+AS20)*Premissas!$C$22</f>
        <v>149732.637937348</v>
      </c>
      <c r="AT21" s="22" t="n">
        <f aca="false">(AT19+AT20)*Premissas!$C$22</f>
        <v>156587.6911354</v>
      </c>
      <c r="AU21" s="22" t="n">
        <f aca="false">(AU19+AU20)*Premissas!$C$22</f>
        <v>163743.635201732</v>
      </c>
      <c r="AV21" s="22" t="n">
        <f aca="false">(AV19+AV20)*Premissas!$C$22</f>
        <v>171214.532791696</v>
      </c>
      <c r="AW21" s="22" t="n">
        <f aca="false">(AW19+AW20)*Premissas!$C$22</f>
        <v>179015.039941188</v>
      </c>
      <c r="AX21" s="22" t="n">
        <f aca="false">(AX19+AX20)*Premissas!$C$22</f>
        <v>187160.43610531</v>
      </c>
      <c r="AY21" s="22" t="n">
        <f aca="false">(AY19+AY20)*Premissas!$C$22</f>
        <v>195666.655232145</v>
      </c>
      <c r="AZ21" s="22" t="n">
        <f aca="false">(AZ19+AZ20)*Premissas!$C$22</f>
        <v>204550.317951215</v>
      </c>
      <c r="BA21" s="22" t="n">
        <f aca="false">(BA19+BA20)*Premissas!$C$22</f>
        <v>213828.764956081</v>
      </c>
      <c r="BB21" s="22" t="n">
        <f aca="false">(BB19+BB20)*Premissas!$C$22</f>
        <v>223520.091660904</v>
      </c>
      <c r="BC21" s="22" t="n">
        <f aca="false">(BC19+BC20)*Premissas!$C$22</f>
        <v>233643.184211508</v>
      </c>
      <c r="BD21" s="22" t="n">
        <f aca="false">(BD19+BD20)*Premissas!$C$22</f>
        <v>244217.756932595</v>
      </c>
      <c r="BE21" s="22" t="n">
        <f aca="false">(BE19+BE20)*Premissas!$C$22</f>
        <v>255264.391294142</v>
      </c>
      <c r="BF21" s="22" t="n">
        <f aca="false">(BF19+BF20)*Premissas!$C$22</f>
        <v>266804.57648182</v>
      </c>
      <c r="BG21" s="22" t="n">
        <f aca="false">(BG19+BG20)*Premissas!$C$22</f>
        <v>278846.621352479</v>
      </c>
      <c r="BH21" s="22" t="n">
        <f aca="false">(BH19+BH20)*Premissas!$C$22</f>
        <v>290295.149165811</v>
      </c>
      <c r="BI21" s="22" t="n">
        <f aca="false">(BI19+BI20)*Premissas!$C$22</f>
        <v>301252.583211729</v>
      </c>
      <c r="BJ21" s="22" t="n">
        <f aca="false">(BJ19+BJ20)*Premissas!$C$22</f>
        <v>311266.594055388</v>
      </c>
      <c r="BK21" s="22" t="n">
        <f aca="false">(BK19+BK20)*Premissas!$C$22</f>
        <v>320428.104348063</v>
      </c>
    </row>
    <row r="22" customFormat="false" ht="15" hidden="false" customHeight="false" outlineLevel="0" collapsed="false">
      <c r="A22" s="9" t="s">
        <v>161</v>
      </c>
      <c r="B22" s="19" t="s">
        <v>155</v>
      </c>
      <c r="C22" s="22" t="n">
        <v>0</v>
      </c>
      <c r="D22" s="22" t="n">
        <f aca="false">(D19+D20)*Premissas!$C$23</f>
        <v>1960</v>
      </c>
      <c r="E22" s="22" t="n">
        <f aca="false">(E19+E20)*Premissas!$C$23</f>
        <v>3773</v>
      </c>
      <c r="F22" s="22" t="n">
        <f aca="false">(F19+F20)*Premissas!$C$23</f>
        <v>6423.809</v>
      </c>
      <c r="G22" s="22" t="n">
        <f aca="false">(G19+G20)*Premissas!$C$23</f>
        <v>8963.381525</v>
      </c>
      <c r="H22" s="22" t="n">
        <f aca="false">(H19+H20)*Premissas!$C$23</f>
        <v>11410.342679225</v>
      </c>
      <c r="I22" s="22" t="n">
        <f aca="false">(I19+I20)*Premissas!$C$23</f>
        <v>13781.5619271181</v>
      </c>
      <c r="J22" s="22" t="n">
        <f aca="false">(J19+J20)*Premissas!$C$23</f>
        <v>16092.3708266871</v>
      </c>
      <c r="K22" s="22" t="n">
        <f aca="false">(K19+K20)*Premissas!$C$23</f>
        <v>18356.7558233068</v>
      </c>
      <c r="L22" s="22" t="n">
        <f aca="false">(L19+L20)*Premissas!$C$23</f>
        <v>20587.5290979494</v>
      </c>
      <c r="M22" s="22" t="n">
        <f aca="false">(M19+M20)*Premissas!$C$23</f>
        <v>22796.4801077267</v>
      </c>
      <c r="N22" s="22" t="n">
        <f aca="false">(N19+N20)*Premissas!$C$23</f>
        <v>24994.5101432293</v>
      </c>
      <c r="O22" s="22" t="n">
        <f aca="false">(O19+O20)*Premissas!$C$23</f>
        <v>27191.7519513209</v>
      </c>
      <c r="P22" s="22" t="n">
        <f aca="false">(P19+P20)*Premissas!$C$23</f>
        <v>29397.6762292889</v>
      </c>
      <c r="Q22" s="22" t="n">
        <f aca="false">(Q19+Q20)*Premissas!$C$23</f>
        <v>31621.1865826136</v>
      </c>
      <c r="R22" s="22" t="n">
        <f aca="false">(R19+R20)*Premissas!$C$23</f>
        <v>33870.7043506042</v>
      </c>
      <c r="S22" s="22" t="n">
        <f aca="false">(S19+S20)*Premissas!$C$23</f>
        <v>36154.2445386971</v>
      </c>
      <c r="T22" s="22" t="n">
        <f aca="false">(T19+T20)*Premissas!$C$23</f>
        <v>38479.4839506226</v>
      </c>
      <c r="U22" s="22" t="n">
        <f aca="false">(U19+U20)*Premissas!$C$23</f>
        <v>40853.822485542</v>
      </c>
      <c r="V22" s="22" t="n">
        <f aca="false">(V19+V20)*Premissas!$C$23</f>
        <v>43284.4384525524</v>
      </c>
      <c r="W22" s="22" t="n">
        <f aca="false">(W19+W20)*Premissas!$C$23</f>
        <v>45778.3386558031</v>
      </c>
      <c r="X22" s="22" t="n">
        <f aca="false">(X19+X20)*Premissas!$C$23</f>
        <v>48342.4039162571</v>
      </c>
      <c r="Y22" s="22" t="n">
        <f aca="false">(Y19+Y20)*Premissas!$C$23</f>
        <v>50983.4306194336</v>
      </c>
      <c r="Z22" s="22" t="n">
        <f aca="false">(Z19+Z20)*Premissas!$C$23</f>
        <v>53708.168811024</v>
      </c>
      <c r="AA22" s="22" t="n">
        <f aca="false">(AA19+AA20)*Premissas!$C$23</f>
        <v>56523.3573029941</v>
      </c>
      <c r="AB22" s="22" t="n">
        <f aca="false">(AB19+AB20)*Premissas!$C$23</f>
        <v>59435.7562006857</v>
      </c>
      <c r="AC22" s="22" t="n">
        <f aca="false">(AC19+AC20)*Premissas!$C$23</f>
        <v>62452.177215664</v>
      </c>
      <c r="AD22" s="22" t="n">
        <f aca="false">(AD19+AD20)*Premissas!$C$23</f>
        <v>65579.5120888695</v>
      </c>
      <c r="AE22" s="22" t="n">
        <f aca="false">(AE19+AE20)*Premissas!$C$23</f>
        <v>68824.7594133638</v>
      </c>
      <c r="AF22" s="22" t="n">
        <f aca="false">(AF19+AF20)*Premissas!$C$23</f>
        <v>72195.0501150269</v>
      </c>
      <c r="AG22" s="22" t="n">
        <f aca="false">(AG19+AG20)*Premissas!$C$23</f>
        <v>75697.6718224497</v>
      </c>
      <c r="AH22" s="22" t="n">
        <f aca="false">(AH19+AH20)*Premissas!$C$23</f>
        <v>79340.0923335361</v>
      </c>
      <c r="AI22" s="22" t="n">
        <f aca="false">(AI19+AI20)*Premissas!$C$23</f>
        <v>83129.9823655654</v>
      </c>
      <c r="AJ22" s="22" t="n">
        <f aca="false">(AJ19+AJ20)*Premissas!$C$23</f>
        <v>87075.237757341</v>
      </c>
      <c r="AK22" s="22" t="n">
        <f aca="false">(AK19+AK20)*Premissas!$C$23</f>
        <v>91184.0012762418</v>
      </c>
      <c r="AL22" s="22" t="n">
        <f aca="false">(AL19+AL20)*Premissas!$C$23</f>
        <v>95464.6841692449</v>
      </c>
      <c r="AM22" s="22" t="n">
        <f aca="false">(AM19+AM20)*Premissas!$C$23</f>
        <v>99925.9875850471</v>
      </c>
      <c r="AN22" s="22" t="n">
        <f aca="false">(AN19+AN20)*Premissas!$C$23</f>
        <v>104576.923984088</v>
      </c>
      <c r="AO22" s="22" t="n">
        <f aca="false">(AO19+AO20)*Premissas!$C$23</f>
        <v>109426.838644374</v>
      </c>
      <c r="AP22" s="22" t="n">
        <f aca="false">(AP19+AP20)*Premissas!$C$23</f>
        <v>114485.431363376</v>
      </c>
      <c r="AQ22" s="22" t="n">
        <f aca="false">(AQ19+AQ20)*Premissas!$C$23</f>
        <v>119762.77844973</v>
      </c>
      <c r="AR22" s="22" t="n">
        <f aca="false">(AR19+AR20)*Premissas!$C$23</f>
        <v>125269.355093014</v>
      </c>
      <c r="AS22" s="22" t="n">
        <f aca="false">(AS19+AS20)*Premissas!$C$23</f>
        <v>131016.058195179</v>
      </c>
      <c r="AT22" s="22" t="n">
        <f aca="false">(AT19+AT20)*Premissas!$C$23</f>
        <v>137014.229743475</v>
      </c>
      <c r="AU22" s="22" t="n">
        <f aca="false">(AU19+AU20)*Premissas!$C$23</f>
        <v>143275.680801515</v>
      </c>
      <c r="AV22" s="22" t="n">
        <f aca="false">(AV19+AV20)*Premissas!$C$23</f>
        <v>149812.716192734</v>
      </c>
      <c r="AW22" s="22" t="n">
        <f aca="false">(AW19+AW20)*Premissas!$C$23</f>
        <v>156638.15994854</v>
      </c>
      <c r="AX22" s="22" t="n">
        <f aca="false">(AX19+AX20)*Premissas!$C$23</f>
        <v>163765.381592146</v>
      </c>
      <c r="AY22" s="22" t="n">
        <f aca="false">(AY19+AY20)*Premissas!$C$23</f>
        <v>171208.323328127</v>
      </c>
      <c r="AZ22" s="22" t="n">
        <f aca="false">(AZ19+AZ20)*Premissas!$C$23</f>
        <v>178981.528207313</v>
      </c>
      <c r="BA22" s="22" t="n">
        <f aca="false">(BA19+BA20)*Premissas!$C$23</f>
        <v>187100.169336571</v>
      </c>
      <c r="BB22" s="22" t="n">
        <f aca="false">(BB19+BB20)*Premissas!$C$23</f>
        <v>195580.080203291</v>
      </c>
      <c r="BC22" s="22" t="n">
        <f aca="false">(BC19+BC20)*Premissas!$C$23</f>
        <v>204437.78618507</v>
      </c>
      <c r="BD22" s="22" t="n">
        <f aca="false">(BD19+BD20)*Premissas!$C$23</f>
        <v>213690.53731602</v>
      </c>
      <c r="BE22" s="22" t="n">
        <f aca="false">(BE19+BE20)*Premissas!$C$23</f>
        <v>223356.342382374</v>
      </c>
      <c r="BF22" s="22" t="n">
        <f aca="false">(BF19+BF20)*Premissas!$C$23</f>
        <v>233454.004421593</v>
      </c>
      <c r="BG22" s="22" t="n">
        <f aca="false">(BG19+BG20)*Premissas!$C$23</f>
        <v>243990.793683419</v>
      </c>
      <c r="BH22" s="22" t="n">
        <f aca="false">(BH19+BH20)*Premissas!$C$23</f>
        <v>254008.255520085</v>
      </c>
      <c r="BI22" s="22" t="n">
        <f aca="false">(BI19+BI20)*Premissas!$C$23</f>
        <v>263596.010310263</v>
      </c>
      <c r="BJ22" s="22" t="n">
        <f aca="false">(BJ19+BJ20)*Premissas!$C$23</f>
        <v>272358.269798464</v>
      </c>
      <c r="BK22" s="22" t="n">
        <f aca="false">(BK19+BK20)*Premissas!$C$23</f>
        <v>280374.591304555</v>
      </c>
    </row>
    <row r="23" customFormat="false" ht="15" hidden="false" customHeight="false" outlineLevel="0" collapsed="false">
      <c r="A23" s="9" t="s">
        <v>162</v>
      </c>
      <c r="B23" s="19" t="s">
        <v>155</v>
      </c>
      <c r="C23" s="22" t="n">
        <v>0</v>
      </c>
      <c r="D23" s="22" t="n">
        <f aca="false">D13*Premissas!$C$24</f>
        <v>0</v>
      </c>
      <c r="E23" s="22" t="n">
        <f aca="false">E13*Premissas!$C$24</f>
        <v>0</v>
      </c>
      <c r="F23" s="22" t="n">
        <f aca="false">F13*Premissas!$C$24</f>
        <v>48</v>
      </c>
      <c r="G23" s="22" t="n">
        <f aca="false">G13*Premissas!$C$24</f>
        <v>95.28</v>
      </c>
      <c r="H23" s="22" t="n">
        <f aca="false">H13*Premissas!$C$24</f>
        <v>141.9804</v>
      </c>
      <c r="I23" s="22" t="n">
        <f aca="false">I13*Premissas!$C$24</f>
        <v>188.23755</v>
      </c>
      <c r="J23" s="22" t="n">
        <f aca="false">J13*Premissas!$C$24</f>
        <v>234.18418983</v>
      </c>
      <c r="K23" s="22" t="n">
        <f aca="false">K13*Premissas!$C$24</f>
        <v>279.94987144755</v>
      </c>
      <c r="L23" s="22" t="n">
        <f aca="false">L13*Premissas!$C$24</f>
        <v>325.661365153378</v>
      </c>
      <c r="M23" s="22" t="n">
        <f aca="false">M13*Premissas!$C$24</f>
        <v>371.443051106526</v>
      </c>
      <c r="N23" s="22" t="n">
        <f aca="false">N13*Premissas!$C$24</f>
        <v>417.417297456292</v>
      </c>
      <c r="O23" s="22" t="n">
        <f aca="false">O13*Premissas!$C$24</f>
        <v>463.704826348799</v>
      </c>
      <c r="P23" s="22" t="n">
        <f aca="false">P13*Premissas!$C$24</f>
        <v>510.42506901105</v>
      </c>
      <c r="Q23" s="22" t="n">
        <f aca="false">Q13*Premissas!$C$24</f>
        <v>557.696511064509</v>
      </c>
      <c r="R23" s="22" t="n">
        <f aca="false">R13*Premissas!$C$24</f>
        <v>605.637029173496</v>
      </c>
      <c r="S23" s="22" t="n">
        <f aca="false">S13*Premissas!$C$24</f>
        <v>654.364220090722</v>
      </c>
      <c r="T23" s="22" t="n">
        <f aca="false">T13*Premissas!$C$24</f>
        <v>703.995723122959</v>
      </c>
      <c r="U23" s="22" t="n">
        <f aca="false">U13*Premissas!$C$24</f>
        <v>754.649537003956</v>
      </c>
      <c r="V23" s="22" t="n">
        <f aca="false">V13*Premissas!$C$24</f>
        <v>806.444332129171</v>
      </c>
      <c r="W23" s="22" t="n">
        <f aca="false">W13*Premissas!$C$24</f>
        <v>859.499759077419</v>
      </c>
      <c r="X23" s="22" t="n">
        <f aca="false">X13*Premissas!$C$24</f>
        <v>913.936754318191</v>
      </c>
      <c r="Y23" s="22" t="n">
        <f aca="false">Y13*Premissas!$C$24</f>
        <v>969.877843979861</v>
      </c>
      <c r="Z23" s="22" t="n">
        <f aca="false">Z13*Premissas!$C$24</f>
        <v>1027.44744653326</v>
      </c>
      <c r="AA23" s="22" t="n">
        <f aca="false">AA13*Premissas!$C$24</f>
        <v>1086.77217522711</v>
      </c>
      <c r="AB23" s="22" t="n">
        <f aca="false">AB13*Premissas!$C$24</f>
        <v>1147.98114109619</v>
      </c>
      <c r="AC23" s="22" t="n">
        <f aca="false">AC13*Premissas!$C$24</f>
        <v>1211.20625735035</v>
      </c>
      <c r="AD23" s="22" t="n">
        <f aca="false">AD13*Premissas!$C$24</f>
        <v>1276.58254594166</v>
      </c>
      <c r="AE23" s="22" t="n">
        <f aca="false">AE13*Premissas!$C$24</f>
        <v>1344.24844709894</v>
      </c>
      <c r="AF23" s="22" t="n">
        <f aca="false">AF13*Premissas!$C$24</f>
        <v>1414.3461326129</v>
      </c>
      <c r="AG23" s="22" t="n">
        <f aca="false">AG13*Premissas!$C$24</f>
        <v>1487.02182365132</v>
      </c>
      <c r="AH23" s="22" t="n">
        <f aca="false">AH13*Premissas!$C$24</f>
        <v>1562.42611388222</v>
      </c>
      <c r="AI23" s="22" t="n">
        <f aca="false">AI13*Premissas!$C$24</f>
        <v>1640.71429868352</v>
      </c>
      <c r="AJ23" s="22" t="n">
        <f aca="false">AJ13*Premissas!$C$24</f>
        <v>1722.04671122028</v>
      </c>
      <c r="AK23" s="22" t="n">
        <f aca="false">AK13*Premissas!$C$24</f>
        <v>1806.58906617543</v>
      </c>
      <c r="AL23" s="22" t="n">
        <f aca="false">AL13*Premissas!$C$24</f>
        <v>1894.51281192655</v>
      </c>
      <c r="AM23" s="22" t="n">
        <f aca="false">AM13*Premissas!$C$24</f>
        <v>1985.99549197008</v>
      </c>
      <c r="AN23" s="22" t="n">
        <f aca="false">AN13*Premissas!$C$24</f>
        <v>2081.22111640515</v>
      </c>
      <c r="AO23" s="22" t="n">
        <f aca="false">AO13*Premissas!$C$24</f>
        <v>2180.38054430202</v>
      </c>
      <c r="AP23" s="22" t="n">
        <f aca="false">AP13*Premissas!$C$24</f>
        <v>2283.67187779473</v>
      </c>
      <c r="AQ23" s="22" t="n">
        <f aca="false">AQ13*Premissas!$C$24</f>
        <v>2391.30086875466</v>
      </c>
      <c r="AR23" s="22" t="n">
        <f aca="false">AR13*Premissas!$C$24</f>
        <v>2503.48133892024</v>
      </c>
      <c r="AS23" s="22" t="n">
        <f aca="false">AS13*Premissas!$C$24</f>
        <v>2620.43561437898</v>
      </c>
      <c r="AT23" s="22" t="n">
        <f aca="false">AT13*Premissas!$C$24</f>
        <v>2742.39497532092</v>
      </c>
      <c r="AU23" s="22" t="n">
        <f aca="false">AU13*Premissas!$C$24</f>
        <v>2869.60012200755</v>
      </c>
      <c r="AV23" s="22" t="n">
        <f aca="false">AV13*Premissas!$C$24</f>
        <v>3002.30165792725</v>
      </c>
      <c r="AW23" s="22" t="n">
        <f aca="false">AW13*Premissas!$C$24</f>
        <v>3140.76059113757</v>
      </c>
      <c r="AX23" s="22" t="n">
        <f aca="false">AX13*Premissas!$C$24</f>
        <v>3285.24885482615</v>
      </c>
      <c r="AY23" s="22" t="n">
        <f aca="false">AY13*Premissas!$C$24</f>
        <v>3436.04984815546</v>
      </c>
      <c r="AZ23" s="22" t="n">
        <f aca="false">AZ13*Premissas!$C$24</f>
        <v>3593.45899849287</v>
      </c>
      <c r="BA23" s="22" t="n">
        <f aca="false">BA13*Premissas!$C$24</f>
        <v>3757.78434616523</v>
      </c>
      <c r="BB23" s="22" t="n">
        <f aca="false">BB13*Premissas!$C$24</f>
        <v>3929.34715291845</v>
      </c>
      <c r="BC23" s="22" t="n">
        <f aca="false">BC13*Premissas!$C$24</f>
        <v>4108.482535305</v>
      </c>
      <c r="BD23" s="22" t="n">
        <f aca="false">BD13*Premissas!$C$24</f>
        <v>4295.54012426864</v>
      </c>
      <c r="BE23" s="22" t="n">
        <f aca="false">BE13*Premissas!$C$24</f>
        <v>4490.88475224315</v>
      </c>
      <c r="BF23" s="22" t="n">
        <f aca="false">BF13*Premissas!$C$24</f>
        <v>4694.89716913357</v>
      </c>
      <c r="BG23" s="22" t="n">
        <f aca="false">BG13*Premissas!$C$24</f>
        <v>4907.97478860169</v>
      </c>
      <c r="BH23" s="22" t="n">
        <f aca="false">BH13*Premissas!$C$24</f>
        <v>5130.53246613444</v>
      </c>
      <c r="BI23" s="22" t="n">
        <f aca="false">BI13*Premissas!$C$24</f>
        <v>5362.70051816637</v>
      </c>
      <c r="BJ23" s="22" t="n">
        <f aca="false">BJ13*Premissas!$C$24</f>
        <v>5580.93848707639</v>
      </c>
      <c r="BK23" s="22" t="n">
        <f aca="false">BK13*Premissas!$C$24</f>
        <v>5786.08217785181</v>
      </c>
    </row>
    <row r="24" customFormat="false" ht="15" hidden="false" customHeight="false" outlineLevel="0" collapsed="false">
      <c r="A24" s="13" t="s">
        <v>163</v>
      </c>
      <c r="B24" s="19" t="s">
        <v>155</v>
      </c>
      <c r="C24" s="23" t="n">
        <v>0</v>
      </c>
      <c r="D24" s="23" t="n">
        <f aca="false">D17+D18+D21+D22+D23</f>
        <v>4200</v>
      </c>
      <c r="E24" s="23" t="n">
        <f aca="false">E17+E18+E21+E22+E23</f>
        <v>8085</v>
      </c>
      <c r="F24" s="23" t="n">
        <f aca="false">F17+F18+F21+F22+F23</f>
        <v>15406.905</v>
      </c>
      <c r="G24" s="23" t="n">
        <f aca="false">G17+G18+G21+G22+G23</f>
        <v>22465.822125</v>
      </c>
      <c r="H24" s="23" t="n">
        <f aca="false">H17+H18+H21+H22+H23</f>
        <v>29306.463992625</v>
      </c>
      <c r="I24" s="23" t="n">
        <f aca="false">I17+I18+I21+I22+I23</f>
        <v>35969.6426252531</v>
      </c>
      <c r="J24" s="23" t="n">
        <f aca="false">J17+J18+J21+J22+J23</f>
        <v>42492.7510636583</v>
      </c>
      <c r="K24" s="23" t="n">
        <f aca="false">K17+K18+K21+K22+K23</f>
        <v>48910.1909391636</v>
      </c>
      <c r="L24" s="23" t="n">
        <f aca="false">L17+L18+L21+L22+L23</f>
        <v>55253.7524695657</v>
      </c>
      <c r="M24" s="23" t="n">
        <f aca="false">M17+M18+M21+M22+M23</f>
        <v>61552.9525786861</v>
      </c>
      <c r="N24" s="23" t="n">
        <f aca="false">N17+N18+N21+N22+N23</f>
        <v>67835.3361656394</v>
      </c>
      <c r="O24" s="23" t="n">
        <f aca="false">O17+O18+O21+O22+O23</f>
        <v>74126.7449568166</v>
      </c>
      <c r="P24" s="23" t="n">
        <f aca="false">P17+P18+P21+P22+P23</f>
        <v>80451.5578515112</v>
      </c>
      <c r="Q24" s="23" t="n">
        <f aca="false">Q17+Q18+Q21+Q22+Q23</f>
        <v>86832.9062125781</v>
      </c>
      <c r="R24" s="23" t="n">
        <f aca="false">R17+R18+R21+R22+R23</f>
        <v>93292.8671490282</v>
      </c>
      <c r="S24" s="23" t="n">
        <f aca="false">S17+S18+S21+S22+S23</f>
        <v>99852.6374814536</v>
      </c>
      <c r="T24" s="23" t="n">
        <f aca="false">T17+T18+T21+T22+T23</f>
        <v>106532.690767853</v>
      </c>
      <c r="U24" s="23" t="n">
        <f aca="false">U17+U18+U21+U22+U23</f>
        <v>113352.919491697</v>
      </c>
      <c r="V24" s="23" t="n">
        <f aca="false">V17+V18+V21+V22+V23</f>
        <v>120332.76427143</v>
      </c>
      <c r="W24" s="23" t="n">
        <f aca="false">W17+W18+W21+W22+W23</f>
        <v>127491.331737169</v>
      </c>
      <c r="X24" s="23" t="n">
        <f aca="false">X17+X18+X21+X22+X23</f>
        <v>134847.502532519</v>
      </c>
      <c r="Y24" s="23" t="n">
        <f aca="false">Y17+Y18+Y21+Y22+Y23</f>
        <v>142420.030734326</v>
      </c>
      <c r="Z24" s="23" t="n">
        <f aca="false">Z17+Z18+Z21+Z22+Z23</f>
        <v>150227.635837918</v>
      </c>
      <c r="AA24" s="23" t="n">
        <f aca="false">AA17+AA18+AA21+AA22+AA23</f>
        <v>158289.088327755</v>
      </c>
      <c r="AB24" s="23" t="n">
        <f aca="false">AB17+AB18+AB21+AB22+AB23</f>
        <v>166623.289741245</v>
      </c>
      <c r="AC24" s="23" t="n">
        <f aca="false">AC17+AC18+AC21+AC22+AC23</f>
        <v>175249.348034948</v>
      </c>
      <c r="AD24" s="23" t="n">
        <f aca="false">AD17+AD18+AD21+AD22+AD23</f>
        <v>184186.648975925</v>
      </c>
      <c r="AE24" s="23" t="n">
        <f aca="false">AE17+AE18+AE21+AE22+AE23</f>
        <v>193454.924205135</v>
      </c>
      <c r="AF24" s="23" t="n">
        <f aca="false">AF17+AF18+AF21+AF22+AF23</f>
        <v>203074.316553276</v>
      </c>
      <c r="AG24" s="23" t="n">
        <f aca="false">AG17+AG18+AG21+AG22+AG23</f>
        <v>213065.443131267</v>
      </c>
      <c r="AH24" s="23" t="n">
        <f aca="false">AH17+AH18+AH21+AH22+AH23</f>
        <v>223449.456666635</v>
      </c>
      <c r="AI24" s="23" t="n">
        <f aca="false">AI17+AI18+AI21+AI22+AI23</f>
        <v>234248.105512617</v>
      </c>
      <c r="AJ24" s="23" t="n">
        <f aca="false">AJ17+AJ18+AJ21+AJ22+AJ23</f>
        <v>245483.792718036</v>
      </c>
      <c r="AK24" s="23" t="n">
        <f aca="false">AK17+AK18+AK21+AK22+AK23</f>
        <v>257179.634512289</v>
      </c>
      <c r="AL24" s="23" t="n">
        <f aca="false">AL17+AL18+AL21+AL22+AL23</f>
        <v>269359.518530556</v>
      </c>
      <c r="AM24" s="23" t="n">
        <f aca="false">AM17+AM18+AM21+AM22+AM23</f>
        <v>282048.162079049</v>
      </c>
      <c r="AN24" s="23" t="n">
        <f aca="false">AN17+AN18+AN21+AN22+AN23</f>
        <v>295271.170718387</v>
      </c>
      <c r="AO24" s="23" t="n">
        <f aca="false">AO17+AO18+AO21+AO22+AO23</f>
        <v>309055.097424503</v>
      </c>
      <c r="AP24" s="23" t="n">
        <f aca="false">AP17+AP18+AP21+AP22+AP23</f>
        <v>323427.502570671</v>
      </c>
      <c r="AQ24" s="23" t="n">
        <f aca="false">AQ17+AQ18+AQ21+AQ22+AQ23</f>
        <v>338417.014960832</v>
      </c>
      <c r="AR24" s="23" t="n">
        <f aca="false">AR17+AR18+AR21+AR22+AR23</f>
        <v>354053.394133244</v>
      </c>
      <c r="AS24" s="23" t="n">
        <f aca="false">AS17+AS18+AS21+AS22+AS23</f>
        <v>370367.594144288</v>
      </c>
      <c r="AT24" s="23" t="n">
        <f aca="false">AT17+AT18+AT21+AT22+AT23</f>
        <v>387391.82903485</v>
      </c>
      <c r="AU24" s="23" t="n">
        <f aca="false">AU17+AU18+AU21+AU22+AU23</f>
        <v>405159.640175906</v>
      </c>
      <c r="AV24" s="23" t="n">
        <f aca="false">AV17+AV18+AV21+AV22+AV23</f>
        <v>423705.965685541</v>
      </c>
      <c r="AW24" s="23" t="n">
        <f aca="false">AW17+AW18+AW21+AW22+AW23</f>
        <v>443067.212106633</v>
      </c>
      <c r="AX24" s="23" t="n">
        <f aca="false">AX17+AX18+AX21+AX22+AX23</f>
        <v>463281.328532511</v>
      </c>
      <c r="AY24" s="23" t="n">
        <f aca="false">AY17+AY18+AY21+AY22+AY23</f>
        <v>484387.883367189</v>
      </c>
      <c r="AZ24" s="23" t="n">
        <f aca="false">AZ17+AZ18+AZ21+AZ22+AZ23</f>
        <v>506428.143906985</v>
      </c>
      <c r="BA24" s="23" t="n">
        <f aca="false">BA17+BA18+BA21+BA22+BA23</f>
        <v>529445.158931504</v>
      </c>
      <c r="BB24" s="23" t="n">
        <f aca="false">BB17+BB18+BB21+BB22+BB23</f>
        <v>553483.844494005</v>
      </c>
      <c r="BC24" s="23" t="n">
        <f aca="false">BC17+BC18+BC21+BC22+BC23</f>
        <v>578591.073104009</v>
      </c>
      <c r="BD24" s="23" t="n">
        <f aca="false">BD17+BD18+BD21+BD22+BD23</f>
        <v>604815.766498602</v>
      </c>
      <c r="BE24" s="23" t="n">
        <f aca="false">BE17+BE18+BE21+BE22+BE23</f>
        <v>632208.992203231</v>
      </c>
      <c r="BF24" s="23" t="n">
        <f aca="false">BF17+BF18+BF21+BF22+BF23</f>
        <v>660824.064087781</v>
      </c>
      <c r="BG24" s="23" t="n">
        <f aca="false">BG17+BG18+BG21+BG22+BG23</f>
        <v>690690.152806076</v>
      </c>
      <c r="BH24" s="23" t="n">
        <f aca="false">BH17+BH18+BH21+BH22+BH23</f>
        <v>719767.615027694</v>
      </c>
      <c r="BI24" s="23" t="n">
        <f aca="false">BI17+BI18+BI21+BI22+BI23</f>
        <v>748252.951243282</v>
      </c>
      <c r="BJ24" s="23" t="n">
        <f aca="false">BJ17+BJ18+BJ21+BJ22+BJ23</f>
        <v>774492.960111865</v>
      </c>
      <c r="BK24" s="23" t="n">
        <f aca="false">BK17+BK18+BK21+BK22+BK23</f>
        <v>798686.706135151</v>
      </c>
    </row>
    <row r="26" customFormat="false" ht="15" hidden="false" customHeight="false" outlineLevel="0" collapsed="false">
      <c r="A26" s="12" t="s">
        <v>164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</row>
    <row r="27" customFormat="false" ht="15" hidden="false" customHeight="false" outlineLevel="0" collapsed="false">
      <c r="A27" s="9" t="s">
        <v>165</v>
      </c>
      <c r="B27" s="19" t="s">
        <v>155</v>
      </c>
      <c r="C27" s="22" t="n">
        <v>0</v>
      </c>
      <c r="D27" s="22" t="n">
        <f aca="false">D14*Premissas!$C$28</f>
        <v>2160</v>
      </c>
      <c r="E27" s="22" t="n">
        <f aca="false">E14*Premissas!$C$28</f>
        <v>4158</v>
      </c>
      <c r="F27" s="22" t="n">
        <f aca="false">F14*Premissas!$C$28</f>
        <v>6017.814</v>
      </c>
      <c r="G27" s="22" t="n">
        <f aca="false">G14*Premissas!$C$28</f>
        <v>7770.96315</v>
      </c>
      <c r="H27" s="22" t="n">
        <f aca="false">H14*Premissas!$C$28</f>
        <v>9434.86822935</v>
      </c>
      <c r="I27" s="22" t="n">
        <f aca="false">I14*Premissas!$C$28</f>
        <v>11025.1047935587</v>
      </c>
      <c r="J27" s="22" t="n">
        <f aca="false">J14*Premissas!$C$28</f>
        <v>12555.6333988023</v>
      </c>
      <c r="K27" s="22" t="n">
        <f aca="false">K14*Premissas!$C$28</f>
        <v>14039.0027297551</v>
      </c>
      <c r="L27" s="22" t="n">
        <f aca="false">L14*Premissas!$C$28</f>
        <v>15486.5288981443</v>
      </c>
      <c r="M27" s="22" t="n">
        <f aca="false">M14*Premissas!$C$28</f>
        <v>16908.4537885349</v>
      </c>
      <c r="N27" s="22" t="n">
        <f aca="false">N14*Premissas!$C$28</f>
        <v>18314.0849838928</v>
      </c>
      <c r="O27" s="22" t="n">
        <f aca="false">O14*Premissas!$C$28</f>
        <v>19711.9195008117</v>
      </c>
      <c r="P27" s="22" t="n">
        <f aca="false">P14*Premissas!$C$28</f>
        <v>21109.7532979842</v>
      </c>
      <c r="Q27" s="22" t="n">
        <f aca="false">Q14*Premissas!$C$28</f>
        <v>22514.7782871761</v>
      </c>
      <c r="R27" s="22" t="n">
        <f aca="false">R14*Premissas!$C$28</f>
        <v>23933.6683698005</v>
      </c>
      <c r="S27" s="22" t="n">
        <f aca="false">S14*Premissas!$C$28</f>
        <v>25372.6558408028</v>
      </c>
      <c r="T27" s="22" t="n">
        <f aca="false">T14*Premissas!$C$28</f>
        <v>26837.5993419914</v>
      </c>
      <c r="U27" s="22" t="n">
        <f aca="false">U14*Premissas!$C$28</f>
        <v>28334.0444065669</v>
      </c>
      <c r="V27" s="22" t="n">
        <f aca="false">V14*Premissas!$C$28</f>
        <v>29867.2775131155</v>
      </c>
      <c r="W27" s="22" t="n">
        <f aca="false">W14*Premissas!$C$28</f>
        <v>31442.3744587158</v>
      </c>
      <c r="X27" s="22" t="n">
        <f aca="false">X14*Premissas!$C$28</f>
        <v>33064.2437652794</v>
      </c>
      <c r="Y27" s="22" t="n">
        <f aca="false">Y14*Premissas!$C$28</f>
        <v>34737.6657492416</v>
      </c>
      <c r="Z27" s="22" t="n">
        <f aca="false">Z14*Premissas!$C$28</f>
        <v>36467.3278108541</v>
      </c>
      <c r="AA27" s="22" t="n">
        <f aca="false">AA14*Premissas!$C$28</f>
        <v>38257.8564343996</v>
      </c>
      <c r="AB27" s="22" t="n">
        <f aca="false">AB14*Premissas!$C$28</f>
        <v>40113.8463335754</v>
      </c>
      <c r="AC27" s="22" t="n">
        <f aca="false">AC14*Premissas!$C$28</f>
        <v>42039.8871261432</v>
      </c>
      <c r="AD27" s="22" t="n">
        <f aca="false">AD14*Premissas!$C$28</f>
        <v>44040.5878778892</v>
      </c>
      <c r="AE27" s="22" t="n">
        <f aca="false">AE14*Premissas!$C$28</f>
        <v>46120.5998172498</v>
      </c>
      <c r="AF27" s="22" t="n">
        <f aca="false">AF14*Premissas!$C$28</f>
        <v>48284.6374880023</v>
      </c>
      <c r="AG27" s="22" t="n">
        <f aca="false">AG14*Premissas!$C$28</f>
        <v>50537.4985776267</v>
      </c>
      <c r="AH27" s="22" t="n">
        <f aca="false">AH14*Premissas!$C$28</f>
        <v>52884.0826328198</v>
      </c>
      <c r="AI27" s="22" t="n">
        <f aca="false">AI14*Premissas!$C$28</f>
        <v>55329.4088507566</v>
      </c>
      <c r="AJ27" s="22" t="n">
        <f aca="false">AJ14*Premissas!$C$28</f>
        <v>57878.6331146555</v>
      </c>
      <c r="AK27" s="22" t="n">
        <f aca="false">AK14*Premissas!$C$28</f>
        <v>60537.0644246808</v>
      </c>
      <c r="AL27" s="22" t="n">
        <f aca="false">AL14*Premissas!$C$28</f>
        <v>63310.1808599106</v>
      </c>
      <c r="AM27" s="22" t="n">
        <f aca="false">AM14*Premissas!$C$28</f>
        <v>66203.6451937505</v>
      </c>
      <c r="AN27" s="22" t="n">
        <f aca="false">AN14*Premissas!$C$28</f>
        <v>69223.3202735533</v>
      </c>
      <c r="AO27" s="22" t="n">
        <f aca="false">AO14*Premissas!$C$28</f>
        <v>72375.2842651132</v>
      </c>
      <c r="AP27" s="22" t="n">
        <f aca="false">AP14*Premissas!$C$28</f>
        <v>75665.8458539576</v>
      </c>
      <c r="AQ27" s="22" t="n">
        <f aca="false">AQ14*Premissas!$C$28</f>
        <v>79101.5594878141</v>
      </c>
      <c r="AR27" s="22" t="n">
        <f aca="false">AR14*Premissas!$C$28</f>
        <v>82689.2407381379</v>
      </c>
      <c r="AS27" s="22" t="n">
        <f aca="false">AS14*Premissas!$C$28</f>
        <v>86435.981853033</v>
      </c>
      <c r="AT27" s="22" t="n">
        <f aca="false">AT14*Premissas!$C$28</f>
        <v>90349.1675691818</v>
      </c>
      <c r="AU27" s="22" t="n">
        <f aca="false">AU14*Premissas!$C$28</f>
        <v>94436.4912464175</v>
      </c>
      <c r="AV27" s="22" t="n">
        <f aca="false">AV14*Premissas!$C$28</f>
        <v>98705.9713852583</v>
      </c>
      <c r="AW27" s="22" t="n">
        <f aca="false">AW14*Premissas!$C$28</f>
        <v>103165.968584989</v>
      </c>
      <c r="AX27" s="22" t="n">
        <f aca="false">AX14*Premissas!$C$28</f>
        <v>107825.202997679</v>
      </c>
      <c r="AY27" s="22" t="n">
        <f aca="false">AY14*Premissas!$C$28</f>
        <v>112692.772331788</v>
      </c>
      <c r="AZ27" s="22" t="n">
        <f aca="false">AZ14*Premissas!$C$28</f>
        <v>117778.170457715</v>
      </c>
      <c r="BA27" s="22" t="n">
        <f aca="false">BA14*Premissas!$C$28</f>
        <v>123091.306666739</v>
      </c>
      <c r="BB27" s="22" t="n">
        <f aca="false">BB14*Premissas!$C$28</f>
        <v>128642.525634189</v>
      </c>
      <c r="BC27" s="22" t="n">
        <f aca="false">BC14*Premissas!$C$28</f>
        <v>134442.628137495</v>
      </c>
      <c r="BD27" s="22" t="n">
        <f aca="false">BD14*Premissas!$C$28</f>
        <v>140502.892579747</v>
      </c>
      <c r="BE27" s="22" t="n">
        <f aca="false">BE14*Premissas!$C$28</f>
        <v>146835.097369745</v>
      </c>
      <c r="BF27" s="22" t="n">
        <f aca="false">BF14*Premissas!$C$28</f>
        <v>153451.544210059</v>
      </c>
      <c r="BG27" s="22" t="n">
        <f aca="false">BG14*Premissas!$C$28</f>
        <v>160351.456693385</v>
      </c>
      <c r="BH27" s="22" t="n">
        <f aca="false">BH14*Premissas!$C$28</f>
        <v>166469.404444516</v>
      </c>
      <c r="BI27" s="22" t="n">
        <f aca="false">BI14*Premissas!$C$28</f>
        <v>171901.270923859</v>
      </c>
      <c r="BJ27" s="22" t="n">
        <f aca="false">BJ14*Premissas!$C$28</f>
        <v>176731.46172492</v>
      </c>
      <c r="BK27" s="22" t="n">
        <f aca="false">BK14*Premissas!$C$28</f>
        <v>181029.169031138</v>
      </c>
    </row>
    <row r="28" customFormat="false" ht="15" hidden="false" customHeight="false" outlineLevel="0" collapsed="false">
      <c r="A28" s="9" t="s">
        <v>166</v>
      </c>
      <c r="B28" s="19" t="s">
        <v>155</v>
      </c>
      <c r="C28" s="22" t="n">
        <v>0</v>
      </c>
      <c r="D28" s="22" t="n">
        <f aca="false">ROUNDUP(D13/Premissas!$C$29,0)*Premissas!$C$30</f>
        <v>0</v>
      </c>
      <c r="E28" s="22" t="n">
        <f aca="false">ROUNDUP(E13/Premissas!$C$29,0)*Premissas!$C$30</f>
        <v>0</v>
      </c>
      <c r="F28" s="22" t="n">
        <f aca="false">ROUNDUP(F13/Premissas!$C$29,0)*Premissas!$C$30</f>
        <v>9000</v>
      </c>
      <c r="G28" s="22" t="n">
        <f aca="false">ROUNDUP(G13/Premissas!$C$29,0)*Premissas!$C$30</f>
        <v>9000</v>
      </c>
      <c r="H28" s="22" t="n">
        <f aca="false">ROUNDUP(H13/Premissas!$C$29,0)*Premissas!$C$30</f>
        <v>9000</v>
      </c>
      <c r="I28" s="22" t="n">
        <f aca="false">ROUNDUP(I13/Premissas!$C$29,0)*Premissas!$C$30</f>
        <v>9000</v>
      </c>
      <c r="J28" s="22" t="n">
        <f aca="false">ROUNDUP(J13/Premissas!$C$29,0)*Premissas!$C$30</f>
        <v>9000</v>
      </c>
      <c r="K28" s="22" t="n">
        <f aca="false">ROUNDUP(K13/Premissas!$C$29,0)*Premissas!$C$30</f>
        <v>9000</v>
      </c>
      <c r="L28" s="22" t="n">
        <f aca="false">ROUNDUP(L13/Premissas!$C$29,0)*Premissas!$C$30</f>
        <v>9000</v>
      </c>
      <c r="M28" s="22" t="n">
        <f aca="false">ROUNDUP(M13/Premissas!$C$29,0)*Premissas!$C$30</f>
        <v>9000</v>
      </c>
      <c r="N28" s="22" t="n">
        <f aca="false">ROUNDUP(N13/Premissas!$C$29,0)*Premissas!$C$30</f>
        <v>9000</v>
      </c>
      <c r="O28" s="22" t="n">
        <f aca="false">ROUNDUP(O13/Premissas!$C$29,0)*Premissas!$C$30</f>
        <v>9000</v>
      </c>
      <c r="P28" s="22" t="n">
        <f aca="false">ROUNDUP(P13/Premissas!$C$29,0)*Premissas!$C$30</f>
        <v>9000</v>
      </c>
      <c r="Q28" s="22" t="n">
        <f aca="false">ROUNDUP(Q13/Premissas!$C$29,0)*Premissas!$C$30</f>
        <v>9000</v>
      </c>
      <c r="R28" s="22" t="n">
        <f aca="false">ROUNDUP(R13/Premissas!$C$29,0)*Premissas!$C$30</f>
        <v>9000</v>
      </c>
      <c r="S28" s="22" t="n">
        <f aca="false">ROUNDUP(S13/Premissas!$C$29,0)*Premissas!$C$30</f>
        <v>9000</v>
      </c>
      <c r="T28" s="22" t="n">
        <f aca="false">ROUNDUP(T13/Premissas!$C$29,0)*Premissas!$C$30</f>
        <v>9000</v>
      </c>
      <c r="U28" s="22" t="n">
        <f aca="false">ROUNDUP(U13/Premissas!$C$29,0)*Premissas!$C$30</f>
        <v>9000</v>
      </c>
      <c r="V28" s="22" t="n">
        <f aca="false">ROUNDUP(V13/Premissas!$C$29,0)*Premissas!$C$30</f>
        <v>9000</v>
      </c>
      <c r="W28" s="22" t="n">
        <f aca="false">ROUNDUP(W13/Premissas!$C$29,0)*Premissas!$C$30</f>
        <v>9000</v>
      </c>
      <c r="X28" s="22" t="n">
        <f aca="false">ROUNDUP(X13/Premissas!$C$29,0)*Premissas!$C$30</f>
        <v>9000</v>
      </c>
      <c r="Y28" s="22" t="n">
        <f aca="false">ROUNDUP(Y13/Premissas!$C$29,0)*Premissas!$C$30</f>
        <v>9000</v>
      </c>
      <c r="Z28" s="22" t="n">
        <f aca="false">ROUNDUP(Z13/Premissas!$C$29,0)*Premissas!$C$30</f>
        <v>9000</v>
      </c>
      <c r="AA28" s="22" t="n">
        <f aca="false">ROUNDUP(AA13/Premissas!$C$29,0)*Premissas!$C$30</f>
        <v>9000</v>
      </c>
      <c r="AB28" s="22" t="n">
        <f aca="false">ROUNDUP(AB13/Premissas!$C$29,0)*Premissas!$C$30</f>
        <v>9000</v>
      </c>
      <c r="AC28" s="22" t="n">
        <f aca="false">ROUNDUP(AC13/Premissas!$C$29,0)*Premissas!$C$30</f>
        <v>9000</v>
      </c>
      <c r="AD28" s="22" t="n">
        <f aca="false">ROUNDUP(AD13/Premissas!$C$29,0)*Premissas!$C$30</f>
        <v>9000</v>
      </c>
      <c r="AE28" s="22" t="n">
        <f aca="false">ROUNDUP(AE13/Premissas!$C$29,0)*Premissas!$C$30</f>
        <v>9000</v>
      </c>
      <c r="AF28" s="22" t="n">
        <f aca="false">ROUNDUP(AF13/Premissas!$C$29,0)*Premissas!$C$30</f>
        <v>9000</v>
      </c>
      <c r="AG28" s="22" t="n">
        <f aca="false">ROUNDUP(AG13/Premissas!$C$29,0)*Premissas!$C$30</f>
        <v>9000</v>
      </c>
      <c r="AH28" s="22" t="n">
        <f aca="false">ROUNDUP(AH13/Premissas!$C$29,0)*Premissas!$C$30</f>
        <v>9000</v>
      </c>
      <c r="AI28" s="22" t="n">
        <f aca="false">ROUNDUP(AI13/Premissas!$C$29,0)*Premissas!$C$30</f>
        <v>9000</v>
      </c>
      <c r="AJ28" s="22" t="n">
        <f aca="false">ROUNDUP(AJ13/Premissas!$C$29,0)*Premissas!$C$30</f>
        <v>9000</v>
      </c>
      <c r="AK28" s="22" t="n">
        <f aca="false">ROUNDUP(AK13/Premissas!$C$29,0)*Premissas!$C$30</f>
        <v>9000</v>
      </c>
      <c r="AL28" s="22" t="n">
        <f aca="false">ROUNDUP(AL13/Premissas!$C$29,0)*Premissas!$C$30</f>
        <v>9000</v>
      </c>
      <c r="AM28" s="22" t="n">
        <f aca="false">ROUNDUP(AM13/Premissas!$C$29,0)*Premissas!$C$30</f>
        <v>9000</v>
      </c>
      <c r="AN28" s="22" t="n">
        <f aca="false">ROUNDUP(AN13/Premissas!$C$29,0)*Premissas!$C$30</f>
        <v>9000</v>
      </c>
      <c r="AO28" s="22" t="n">
        <f aca="false">ROUNDUP(AO13/Premissas!$C$29,0)*Premissas!$C$30</f>
        <v>9000</v>
      </c>
      <c r="AP28" s="22" t="n">
        <f aca="false">ROUNDUP(AP13/Premissas!$C$29,0)*Premissas!$C$30</f>
        <v>9000</v>
      </c>
      <c r="AQ28" s="22" t="n">
        <f aca="false">ROUNDUP(AQ13/Premissas!$C$29,0)*Premissas!$C$30</f>
        <v>9000</v>
      </c>
      <c r="AR28" s="22" t="n">
        <f aca="false">ROUNDUP(AR13/Premissas!$C$29,0)*Premissas!$C$30</f>
        <v>9000</v>
      </c>
      <c r="AS28" s="22" t="n">
        <f aca="false">ROUNDUP(AS13/Premissas!$C$29,0)*Premissas!$C$30</f>
        <v>9000</v>
      </c>
      <c r="AT28" s="22" t="n">
        <f aca="false">ROUNDUP(AT13/Premissas!$C$29,0)*Premissas!$C$30</f>
        <v>9000</v>
      </c>
      <c r="AU28" s="22" t="n">
        <f aca="false">ROUNDUP(AU13/Premissas!$C$29,0)*Premissas!$C$30</f>
        <v>9000</v>
      </c>
      <c r="AV28" s="22" t="n">
        <f aca="false">ROUNDUP(AV13/Premissas!$C$29,0)*Premissas!$C$30</f>
        <v>9000</v>
      </c>
      <c r="AW28" s="22" t="n">
        <f aca="false">ROUNDUP(AW13/Premissas!$C$29,0)*Premissas!$C$30</f>
        <v>9000</v>
      </c>
      <c r="AX28" s="22" t="n">
        <f aca="false">ROUNDUP(AX13/Premissas!$C$29,0)*Premissas!$C$30</f>
        <v>9000</v>
      </c>
      <c r="AY28" s="22" t="n">
        <f aca="false">ROUNDUP(AY13/Premissas!$C$29,0)*Premissas!$C$30</f>
        <v>9000</v>
      </c>
      <c r="AZ28" s="22" t="n">
        <f aca="false">ROUNDUP(AZ13/Premissas!$C$29,0)*Premissas!$C$30</f>
        <v>9000</v>
      </c>
      <c r="BA28" s="22" t="n">
        <f aca="false">ROUNDUP(BA13/Premissas!$C$29,0)*Premissas!$C$30</f>
        <v>9000</v>
      </c>
      <c r="BB28" s="22" t="n">
        <f aca="false">ROUNDUP(BB13/Premissas!$C$29,0)*Premissas!$C$30</f>
        <v>9000</v>
      </c>
      <c r="BC28" s="22" t="n">
        <f aca="false">ROUNDUP(BC13/Premissas!$C$29,0)*Premissas!$C$30</f>
        <v>9000</v>
      </c>
      <c r="BD28" s="22" t="n">
        <f aca="false">ROUNDUP(BD13/Premissas!$C$29,0)*Premissas!$C$30</f>
        <v>9000</v>
      </c>
      <c r="BE28" s="22" t="n">
        <f aca="false">ROUNDUP(BE13/Premissas!$C$29,0)*Premissas!$C$30</f>
        <v>9000</v>
      </c>
      <c r="BF28" s="22" t="n">
        <f aca="false">ROUNDUP(BF13/Premissas!$C$29,0)*Premissas!$C$30</f>
        <v>18000</v>
      </c>
      <c r="BG28" s="22" t="n">
        <f aca="false">ROUNDUP(BG13/Premissas!$C$29,0)*Premissas!$C$30</f>
        <v>18000</v>
      </c>
      <c r="BH28" s="22" t="n">
        <f aca="false">ROUNDUP(BH13/Premissas!$C$29,0)*Premissas!$C$30</f>
        <v>18000</v>
      </c>
      <c r="BI28" s="22" t="n">
        <f aca="false">ROUNDUP(BI13/Premissas!$C$29,0)*Premissas!$C$30</f>
        <v>18000</v>
      </c>
      <c r="BJ28" s="22" t="n">
        <f aca="false">ROUNDUP(BJ13/Premissas!$C$29,0)*Premissas!$C$30</f>
        <v>18000</v>
      </c>
      <c r="BK28" s="22" t="n">
        <f aca="false">ROUNDUP(BK13/Premissas!$C$29,0)*Premissas!$C$30</f>
        <v>18000</v>
      </c>
    </row>
    <row r="29" customFormat="false" ht="15" hidden="false" customHeight="false" outlineLevel="0" collapsed="false">
      <c r="A29" s="9" t="s">
        <v>167</v>
      </c>
      <c r="B29" s="19" t="s">
        <v>155</v>
      </c>
      <c r="C29" s="22" t="n">
        <v>0</v>
      </c>
      <c r="D29" s="22" t="n">
        <f aca="false">D6*Premissas!$C$27</f>
        <v>8800</v>
      </c>
      <c r="E29" s="22" t="n">
        <f aca="false">E6*Premissas!$C$27</f>
        <v>9196</v>
      </c>
      <c r="F29" s="22" t="n">
        <f aca="false">F6*Premissas!$C$27</f>
        <v>9609.82</v>
      </c>
      <c r="G29" s="22" t="n">
        <f aca="false">G6*Premissas!$C$27</f>
        <v>10042.2619</v>
      </c>
      <c r="H29" s="22" t="n">
        <f aca="false">H6*Premissas!$C$27</f>
        <v>10494.1636855</v>
      </c>
      <c r="I29" s="22" t="n">
        <f aca="false">I6*Premissas!$C$27</f>
        <v>10966.4010513475</v>
      </c>
      <c r="J29" s="22" t="n">
        <f aca="false">J6*Premissas!$C$27</f>
        <v>11459.8890986581</v>
      </c>
      <c r="K29" s="22" t="n">
        <f aca="false">K6*Premissas!$C$27</f>
        <v>11975.5841080978</v>
      </c>
      <c r="L29" s="22" t="n">
        <f aca="false">L6*Premissas!$C$27</f>
        <v>12514.4853929621</v>
      </c>
      <c r="M29" s="22" t="n">
        <f aca="false">M6*Premissas!$C$27</f>
        <v>13077.6372356454</v>
      </c>
      <c r="N29" s="22" t="n">
        <f aca="false">N6*Premissas!$C$27</f>
        <v>13666.1309112495</v>
      </c>
      <c r="O29" s="22" t="n">
        <f aca="false">O6*Premissas!$C$27</f>
        <v>14281.1068022557</v>
      </c>
      <c r="P29" s="22" t="n">
        <f aca="false">P6*Premissas!$C$27</f>
        <v>14923.7566083572</v>
      </c>
      <c r="Q29" s="22" t="n">
        <f aca="false">Q6*Premissas!$C$27</f>
        <v>15595.3256557333</v>
      </c>
      <c r="R29" s="22" t="n">
        <f aca="false">R6*Premissas!$C$27</f>
        <v>16297.1153102413</v>
      </c>
      <c r="S29" s="22" t="n">
        <f aca="false">S6*Premissas!$C$27</f>
        <v>17030.4854992022</v>
      </c>
      <c r="T29" s="22" t="n">
        <f aca="false">T6*Premissas!$C$27</f>
        <v>17796.8573466662</v>
      </c>
      <c r="U29" s="22" t="n">
        <f aca="false">U6*Premissas!$C$27</f>
        <v>18597.7159272662</v>
      </c>
      <c r="V29" s="22" t="n">
        <f aca="false">V6*Premissas!$C$27</f>
        <v>19434.6131439932</v>
      </c>
      <c r="W29" s="22" t="n">
        <f aca="false">W6*Premissas!$C$27</f>
        <v>20309.1707354729</v>
      </c>
      <c r="X29" s="22" t="n">
        <f aca="false">X6*Premissas!$C$27</f>
        <v>21223.0834185692</v>
      </c>
      <c r="Y29" s="22" t="n">
        <f aca="false">Y6*Premissas!$C$27</f>
        <v>22178.1221724048</v>
      </c>
      <c r="Z29" s="22" t="n">
        <f aca="false">Z6*Premissas!$C$27</f>
        <v>23176.137670163</v>
      </c>
      <c r="AA29" s="22" t="n">
        <f aca="false">AA6*Premissas!$C$27</f>
        <v>24219.0638653203</v>
      </c>
      <c r="AB29" s="22" t="n">
        <f aca="false">AB6*Premissas!$C$27</f>
        <v>25308.9217392597</v>
      </c>
      <c r="AC29" s="22" t="n">
        <f aca="false">AC6*Premissas!$C$27</f>
        <v>26447.8232175264</v>
      </c>
      <c r="AD29" s="22" t="n">
        <f aca="false">AD6*Premissas!$C$27</f>
        <v>27637.9752623151</v>
      </c>
      <c r="AE29" s="22" t="n">
        <f aca="false">AE6*Premissas!$C$27</f>
        <v>28881.6841491193</v>
      </c>
      <c r="AF29" s="22" t="n">
        <f aca="false">AF6*Premissas!$C$27</f>
        <v>30181.3599358297</v>
      </c>
      <c r="AG29" s="22" t="n">
        <f aca="false">AG6*Premissas!$C$27</f>
        <v>31539.521132942</v>
      </c>
      <c r="AH29" s="22" t="n">
        <f aca="false">AH6*Premissas!$C$27</f>
        <v>32958.7995839244</v>
      </c>
      <c r="AI29" s="22" t="n">
        <f aca="false">AI6*Premissas!$C$27</f>
        <v>34441.945565201</v>
      </c>
      <c r="AJ29" s="22" t="n">
        <f aca="false">AJ6*Premissas!$C$27</f>
        <v>35991.833115635</v>
      </c>
      <c r="AK29" s="22" t="n">
        <f aca="false">AK6*Premissas!$C$27</f>
        <v>37611.4656058386</v>
      </c>
      <c r="AL29" s="22" t="n">
        <f aca="false">AL6*Premissas!$C$27</f>
        <v>39303.9815581013</v>
      </c>
      <c r="AM29" s="22" t="n">
        <f aca="false">AM6*Premissas!$C$27</f>
        <v>41072.6607282159</v>
      </c>
      <c r="AN29" s="22" t="n">
        <f aca="false">AN6*Premissas!$C$27</f>
        <v>42920.9304609856</v>
      </c>
      <c r="AO29" s="22" t="n">
        <f aca="false">AO6*Premissas!$C$27</f>
        <v>44852.37233173</v>
      </c>
      <c r="AP29" s="22" t="n">
        <f aca="false">AP6*Premissas!$C$27</f>
        <v>46870.7290866578</v>
      </c>
      <c r="AQ29" s="22" t="n">
        <f aca="false">AQ6*Premissas!$C$27</f>
        <v>48979.9118955574</v>
      </c>
      <c r="AR29" s="22" t="n">
        <f aca="false">AR6*Premissas!$C$27</f>
        <v>51184.0079308575</v>
      </c>
      <c r="AS29" s="22" t="n">
        <f aca="false">AS6*Premissas!$C$27</f>
        <v>53487.2882877461</v>
      </c>
      <c r="AT29" s="22" t="n">
        <f aca="false">AT6*Premissas!$C$27</f>
        <v>55894.2162606946</v>
      </c>
      <c r="AU29" s="22" t="n">
        <f aca="false">AU6*Premissas!$C$27</f>
        <v>58409.4559924259</v>
      </c>
      <c r="AV29" s="22" t="n">
        <f aca="false">AV6*Premissas!$C$27</f>
        <v>61037.881512085</v>
      </c>
      <c r="AW29" s="22" t="n">
        <f aca="false">AW6*Premissas!$C$27</f>
        <v>63784.5861801289</v>
      </c>
      <c r="AX29" s="22" t="n">
        <f aca="false">AX6*Premissas!$C$27</f>
        <v>66654.8925582347</v>
      </c>
      <c r="AY29" s="22" t="n">
        <f aca="false">AY6*Premissas!$C$27</f>
        <v>69654.3627233552</v>
      </c>
      <c r="AZ29" s="22" t="n">
        <f aca="false">AZ6*Premissas!$C$27</f>
        <v>72788.8090459062</v>
      </c>
      <c r="BA29" s="22" t="n">
        <f aca="false">BA6*Premissas!$C$27</f>
        <v>76064.305452972</v>
      </c>
      <c r="BB29" s="22" t="n">
        <f aca="false">BB6*Premissas!$C$27</f>
        <v>79487.1991983557</v>
      </c>
      <c r="BC29" s="22" t="n">
        <f aca="false">BC6*Premissas!$C$27</f>
        <v>83064.1231622817</v>
      </c>
      <c r="BD29" s="22" t="n">
        <f aca="false">BD6*Premissas!$C$27</f>
        <v>86802.0087045844</v>
      </c>
      <c r="BE29" s="22" t="n">
        <f aca="false">BE6*Premissas!$C$27</f>
        <v>90708.0990962907</v>
      </c>
      <c r="BF29" s="22" t="n">
        <f aca="false">BF6*Premissas!$C$27</f>
        <v>94789.9635556238</v>
      </c>
      <c r="BG29" s="22" t="n">
        <f aca="false">BG6*Premissas!$C$27</f>
        <v>99000</v>
      </c>
      <c r="BH29" s="22" t="n">
        <f aca="false">BH6*Premissas!$C$27</f>
        <v>99000</v>
      </c>
      <c r="BI29" s="22" t="n">
        <f aca="false">BI6*Premissas!$C$27</f>
        <v>99000</v>
      </c>
      <c r="BJ29" s="22" t="n">
        <f aca="false">BJ6*Premissas!$C$27</f>
        <v>99000</v>
      </c>
      <c r="BK29" s="22" t="n">
        <f aca="false">BK6*Premissas!$C$27</f>
        <v>99000</v>
      </c>
    </row>
    <row r="30" customFormat="false" ht="15" hidden="false" customHeight="false" outlineLevel="0" collapsed="false">
      <c r="A30" s="9" t="s">
        <v>168</v>
      </c>
      <c r="B30" s="19" t="s">
        <v>155</v>
      </c>
      <c r="C30" s="22" t="n">
        <v>0</v>
      </c>
      <c r="D30" s="22" t="n">
        <f aca="false">Premissas!$C$31</f>
        <v>3000</v>
      </c>
      <c r="E30" s="22" t="n">
        <f aca="false">Premissas!$C$31</f>
        <v>3000</v>
      </c>
      <c r="F30" s="22" t="n">
        <f aca="false">Premissas!$C$31</f>
        <v>3000</v>
      </c>
      <c r="G30" s="22" t="n">
        <f aca="false">Premissas!$C$31</f>
        <v>3000</v>
      </c>
      <c r="H30" s="22" t="n">
        <f aca="false">Premissas!$C$31</f>
        <v>3000</v>
      </c>
      <c r="I30" s="22" t="n">
        <f aca="false">Premissas!$C$31</f>
        <v>3000</v>
      </c>
      <c r="J30" s="22" t="n">
        <f aca="false">Premissas!$C$31</f>
        <v>3000</v>
      </c>
      <c r="K30" s="22" t="n">
        <f aca="false">Premissas!$C$31</f>
        <v>3000</v>
      </c>
      <c r="L30" s="22" t="n">
        <f aca="false">Premissas!$C$31</f>
        <v>3000</v>
      </c>
      <c r="M30" s="22" t="n">
        <f aca="false">Premissas!$C$31</f>
        <v>3000</v>
      </c>
      <c r="N30" s="22" t="n">
        <f aca="false">Premissas!$C$31</f>
        <v>3000</v>
      </c>
      <c r="O30" s="22" t="n">
        <f aca="false">Premissas!$C$31</f>
        <v>3000</v>
      </c>
      <c r="P30" s="22" t="n">
        <f aca="false">Premissas!$C$31</f>
        <v>3000</v>
      </c>
      <c r="Q30" s="22" t="n">
        <f aca="false">Premissas!$C$31</f>
        <v>3000</v>
      </c>
      <c r="R30" s="22" t="n">
        <f aca="false">Premissas!$C$31</f>
        <v>3000</v>
      </c>
      <c r="S30" s="22" t="n">
        <f aca="false">Premissas!$C$31</f>
        <v>3000</v>
      </c>
      <c r="T30" s="22" t="n">
        <f aca="false">Premissas!$C$31</f>
        <v>3000</v>
      </c>
      <c r="U30" s="22" t="n">
        <f aca="false">Premissas!$C$31</f>
        <v>3000</v>
      </c>
      <c r="V30" s="22" t="n">
        <f aca="false">Premissas!$C$31</f>
        <v>3000</v>
      </c>
      <c r="W30" s="22" t="n">
        <f aca="false">Premissas!$C$31</f>
        <v>3000</v>
      </c>
      <c r="X30" s="22" t="n">
        <f aca="false">Premissas!$C$31</f>
        <v>3000</v>
      </c>
      <c r="Y30" s="22" t="n">
        <f aca="false">Premissas!$C$31</f>
        <v>3000</v>
      </c>
      <c r="Z30" s="22" t="n">
        <f aca="false">Premissas!$C$31</f>
        <v>3000</v>
      </c>
      <c r="AA30" s="22" t="n">
        <f aca="false">Premissas!$C$31</f>
        <v>3000</v>
      </c>
      <c r="AB30" s="22" t="n">
        <f aca="false">Premissas!$C$31</f>
        <v>3000</v>
      </c>
      <c r="AC30" s="22" t="n">
        <f aca="false">Premissas!$C$31</f>
        <v>3000</v>
      </c>
      <c r="AD30" s="22" t="n">
        <f aca="false">Premissas!$C$31</f>
        <v>3000</v>
      </c>
      <c r="AE30" s="22" t="n">
        <f aca="false">Premissas!$C$31</f>
        <v>3000</v>
      </c>
      <c r="AF30" s="22" t="n">
        <f aca="false">Premissas!$C$31</f>
        <v>3000</v>
      </c>
      <c r="AG30" s="22" t="n">
        <f aca="false">Premissas!$C$31</f>
        <v>3000</v>
      </c>
      <c r="AH30" s="22" t="n">
        <f aca="false">Premissas!$C$31</f>
        <v>3000</v>
      </c>
      <c r="AI30" s="22" t="n">
        <f aca="false">Premissas!$C$31</f>
        <v>3000</v>
      </c>
      <c r="AJ30" s="22" t="n">
        <f aca="false">Premissas!$C$31</f>
        <v>3000</v>
      </c>
      <c r="AK30" s="22" t="n">
        <f aca="false">Premissas!$C$31</f>
        <v>3000</v>
      </c>
      <c r="AL30" s="22" t="n">
        <f aca="false">Premissas!$C$31</f>
        <v>3000</v>
      </c>
      <c r="AM30" s="22" t="n">
        <f aca="false">Premissas!$C$31</f>
        <v>3000</v>
      </c>
      <c r="AN30" s="22" t="n">
        <f aca="false">Premissas!$C$31</f>
        <v>3000</v>
      </c>
      <c r="AO30" s="22" t="n">
        <f aca="false">Premissas!$C$31</f>
        <v>3000</v>
      </c>
      <c r="AP30" s="22" t="n">
        <f aca="false">Premissas!$C$31</f>
        <v>3000</v>
      </c>
      <c r="AQ30" s="22" t="n">
        <f aca="false">Premissas!$C$31</f>
        <v>3000</v>
      </c>
      <c r="AR30" s="22" t="n">
        <f aca="false">Premissas!$C$31</f>
        <v>3000</v>
      </c>
      <c r="AS30" s="22" t="n">
        <f aca="false">Premissas!$C$31</f>
        <v>3000</v>
      </c>
      <c r="AT30" s="22" t="n">
        <f aca="false">Premissas!$C$31</f>
        <v>3000</v>
      </c>
      <c r="AU30" s="22" t="n">
        <f aca="false">Premissas!$C$31</f>
        <v>3000</v>
      </c>
      <c r="AV30" s="22" t="n">
        <f aca="false">Premissas!$C$31</f>
        <v>3000</v>
      </c>
      <c r="AW30" s="22" t="n">
        <f aca="false">Premissas!$C$31</f>
        <v>3000</v>
      </c>
      <c r="AX30" s="22" t="n">
        <f aca="false">Premissas!$C$31</f>
        <v>3000</v>
      </c>
      <c r="AY30" s="22" t="n">
        <f aca="false">Premissas!$C$31</f>
        <v>3000</v>
      </c>
      <c r="AZ30" s="22" t="n">
        <f aca="false">Premissas!$C$31</f>
        <v>3000</v>
      </c>
      <c r="BA30" s="22" t="n">
        <f aca="false">Premissas!$C$31</f>
        <v>3000</v>
      </c>
      <c r="BB30" s="22" t="n">
        <f aca="false">Premissas!$C$31</f>
        <v>3000</v>
      </c>
      <c r="BC30" s="22" t="n">
        <f aca="false">Premissas!$C$31</f>
        <v>3000</v>
      </c>
      <c r="BD30" s="22" t="n">
        <f aca="false">Premissas!$C$31</f>
        <v>3000</v>
      </c>
      <c r="BE30" s="22" t="n">
        <f aca="false">Premissas!$C$31</f>
        <v>3000</v>
      </c>
      <c r="BF30" s="22" t="n">
        <f aca="false">Premissas!$C$31</f>
        <v>3000</v>
      </c>
      <c r="BG30" s="22" t="n">
        <f aca="false">Premissas!$C$31</f>
        <v>3000</v>
      </c>
      <c r="BH30" s="22" t="n">
        <f aca="false">Premissas!$C$31</f>
        <v>3000</v>
      </c>
      <c r="BI30" s="22" t="n">
        <f aca="false">Premissas!$C$31</f>
        <v>3000</v>
      </c>
      <c r="BJ30" s="22" t="n">
        <f aca="false">Premissas!$C$31</f>
        <v>3000</v>
      </c>
      <c r="BK30" s="22" t="n">
        <f aca="false">Premissas!$C$31</f>
        <v>3000</v>
      </c>
    </row>
    <row r="31" customFormat="false" ht="15" hidden="false" customHeight="false" outlineLevel="0" collapsed="false">
      <c r="A31" s="9" t="s">
        <v>169</v>
      </c>
      <c r="B31" s="19" t="s">
        <v>155</v>
      </c>
      <c r="C31" s="22" t="n">
        <v>0</v>
      </c>
      <c r="D31" s="22" t="n">
        <f aca="false">D24*Premissas!$C$32</f>
        <v>420</v>
      </c>
      <c r="E31" s="22" t="n">
        <f aca="false">E24*Premissas!$C$32</f>
        <v>808.5</v>
      </c>
      <c r="F31" s="22" t="n">
        <f aca="false">F24*Premissas!$C$32</f>
        <v>1540.6905</v>
      </c>
      <c r="G31" s="22" t="n">
        <f aca="false">G24*Premissas!$C$32</f>
        <v>2246.5822125</v>
      </c>
      <c r="H31" s="22" t="n">
        <f aca="false">H24*Premissas!$C$32</f>
        <v>2930.6463992625</v>
      </c>
      <c r="I31" s="22" t="n">
        <f aca="false">I24*Premissas!$C$32</f>
        <v>3596.96426252531</v>
      </c>
      <c r="J31" s="22" t="n">
        <f aca="false">J24*Premissas!$C$32</f>
        <v>4249.27510636583</v>
      </c>
      <c r="K31" s="22" t="n">
        <f aca="false">K24*Premissas!$C$32</f>
        <v>4891.01909391636</v>
      </c>
      <c r="L31" s="22" t="n">
        <f aca="false">L24*Premissas!$C$32</f>
        <v>5525.37524695657</v>
      </c>
      <c r="M31" s="22" t="n">
        <f aca="false">M24*Premissas!$C$32</f>
        <v>6155.29525786861</v>
      </c>
      <c r="N31" s="22" t="n">
        <f aca="false">N24*Premissas!$C$32</f>
        <v>6783.53361656395</v>
      </c>
      <c r="O31" s="22" t="n">
        <f aca="false">O24*Premissas!$C$32</f>
        <v>7412.67449568166</v>
      </c>
      <c r="P31" s="22" t="n">
        <f aca="false">P24*Premissas!$C$32</f>
        <v>8045.15578515112</v>
      </c>
      <c r="Q31" s="22" t="n">
        <f aca="false">Q24*Premissas!$C$32</f>
        <v>8683.29062125781</v>
      </c>
      <c r="R31" s="22" t="n">
        <f aca="false">R24*Premissas!$C$32</f>
        <v>9329.28671490282</v>
      </c>
      <c r="S31" s="22" t="n">
        <f aca="false">S24*Premissas!$C$32</f>
        <v>9985.26374814536</v>
      </c>
      <c r="T31" s="22" t="n">
        <f aca="false">T24*Premissas!$C$32</f>
        <v>10653.2690767854</v>
      </c>
      <c r="U31" s="22" t="n">
        <f aca="false">U24*Premissas!$C$32</f>
        <v>11335.2919491697</v>
      </c>
      <c r="V31" s="22" t="n">
        <f aca="false">V24*Premissas!$C$32</f>
        <v>12033.276427143</v>
      </c>
      <c r="W31" s="22" t="n">
        <f aca="false">W24*Premissas!$C$32</f>
        <v>12749.1331737169</v>
      </c>
      <c r="X31" s="22" t="n">
        <f aca="false">X24*Premissas!$C$32</f>
        <v>13484.7502532519</v>
      </c>
      <c r="Y31" s="22" t="n">
        <f aca="false">Y24*Premissas!$C$32</f>
        <v>14242.0030734326</v>
      </c>
      <c r="Z31" s="22" t="n">
        <f aca="false">Z24*Premissas!$C$32</f>
        <v>15022.7635837918</v>
      </c>
      <c r="AA31" s="22" t="n">
        <f aca="false">AA24*Premissas!$C$32</f>
        <v>15828.9088327755</v>
      </c>
      <c r="AB31" s="22" t="n">
        <f aca="false">AB24*Premissas!$C$32</f>
        <v>16662.3289741245</v>
      </c>
      <c r="AC31" s="22" t="n">
        <f aca="false">AC24*Premissas!$C$32</f>
        <v>17524.9348034948</v>
      </c>
      <c r="AD31" s="22" t="n">
        <f aca="false">AD24*Premissas!$C$32</f>
        <v>18418.6648975925</v>
      </c>
      <c r="AE31" s="22" t="n">
        <f aca="false">AE24*Premissas!$C$32</f>
        <v>19345.4924205135</v>
      </c>
      <c r="AF31" s="22" t="n">
        <f aca="false">AF24*Premissas!$C$32</f>
        <v>20307.4316553276</v>
      </c>
      <c r="AG31" s="22" t="n">
        <f aca="false">AG24*Premissas!$C$32</f>
        <v>21306.5443131267</v>
      </c>
      <c r="AH31" s="22" t="n">
        <f aca="false">AH24*Premissas!$C$32</f>
        <v>22344.9456666635</v>
      </c>
      <c r="AI31" s="22" t="n">
        <f aca="false">AI24*Premissas!$C$32</f>
        <v>23424.8105512617</v>
      </c>
      <c r="AJ31" s="22" t="n">
        <f aca="false">AJ24*Premissas!$C$32</f>
        <v>24548.3792718036</v>
      </c>
      <c r="AK31" s="22" t="n">
        <f aca="false">AK24*Premissas!$C$32</f>
        <v>25717.9634512289</v>
      </c>
      <c r="AL31" s="22" t="n">
        <f aca="false">AL24*Premissas!$C$32</f>
        <v>26935.9518530556</v>
      </c>
      <c r="AM31" s="22" t="n">
        <f aca="false">AM24*Premissas!$C$32</f>
        <v>28204.8162079049</v>
      </c>
      <c r="AN31" s="22" t="n">
        <f aca="false">AN24*Premissas!$C$32</f>
        <v>29527.1170718387</v>
      </c>
      <c r="AO31" s="22" t="n">
        <f aca="false">AO24*Premissas!$C$32</f>
        <v>30905.5097424503</v>
      </c>
      <c r="AP31" s="22" t="n">
        <f aca="false">AP24*Premissas!$C$32</f>
        <v>32342.7502570671</v>
      </c>
      <c r="AQ31" s="22" t="n">
        <f aca="false">AQ24*Premissas!$C$32</f>
        <v>33841.7014960832</v>
      </c>
      <c r="AR31" s="22" t="n">
        <f aca="false">AR24*Premissas!$C$32</f>
        <v>35405.3394133244</v>
      </c>
      <c r="AS31" s="22" t="n">
        <f aca="false">AS24*Premissas!$C$32</f>
        <v>37036.7594144288</v>
      </c>
      <c r="AT31" s="22" t="n">
        <f aca="false">AT24*Premissas!$C$32</f>
        <v>38739.182903485</v>
      </c>
      <c r="AU31" s="22" t="n">
        <f aca="false">AU24*Premissas!$C$32</f>
        <v>40515.9640175906</v>
      </c>
      <c r="AV31" s="22" t="n">
        <f aca="false">AV24*Premissas!$C$32</f>
        <v>42370.5965685541</v>
      </c>
      <c r="AW31" s="22" t="n">
        <f aca="false">AW24*Premissas!$C$32</f>
        <v>44306.7212106633</v>
      </c>
      <c r="AX31" s="22" t="n">
        <f aca="false">AX24*Premissas!$C$32</f>
        <v>46328.1328532511</v>
      </c>
      <c r="AY31" s="22" t="n">
        <f aca="false">AY24*Premissas!$C$32</f>
        <v>48438.7883367189</v>
      </c>
      <c r="AZ31" s="22" t="n">
        <f aca="false">AZ24*Premissas!$C$32</f>
        <v>50642.8143906985</v>
      </c>
      <c r="BA31" s="22" t="n">
        <f aca="false">BA24*Premissas!$C$32</f>
        <v>52944.5158931504</v>
      </c>
      <c r="BB31" s="22" t="n">
        <f aca="false">BB24*Premissas!$C$32</f>
        <v>55348.3844494005</v>
      </c>
      <c r="BC31" s="22" t="n">
        <f aca="false">BC24*Premissas!$C$32</f>
        <v>57859.1073104009</v>
      </c>
      <c r="BD31" s="22" t="n">
        <f aca="false">BD24*Premissas!$C$32</f>
        <v>60481.5766498602</v>
      </c>
      <c r="BE31" s="22" t="n">
        <f aca="false">BE24*Premissas!$C$32</f>
        <v>63220.8992203231</v>
      </c>
      <c r="BF31" s="22" t="n">
        <f aca="false">BF24*Premissas!$C$32</f>
        <v>66082.4064087781</v>
      </c>
      <c r="BG31" s="22" t="n">
        <f aca="false">BG24*Premissas!$C$32</f>
        <v>69069.0152806076</v>
      </c>
      <c r="BH31" s="22" t="n">
        <f aca="false">BH24*Premissas!$C$32</f>
        <v>71976.7615027694</v>
      </c>
      <c r="BI31" s="22" t="n">
        <f aca="false">BI24*Premissas!$C$32</f>
        <v>74825.2951243282</v>
      </c>
      <c r="BJ31" s="22" t="n">
        <f aca="false">BJ24*Premissas!$C$32</f>
        <v>77449.2960111865</v>
      </c>
      <c r="BK31" s="22" t="n">
        <f aca="false">BK24*Premissas!$C$32</f>
        <v>79868.6706135151</v>
      </c>
    </row>
    <row r="32" customFormat="false" ht="15" hidden="false" customHeight="false" outlineLevel="0" collapsed="false">
      <c r="A32" s="13" t="s">
        <v>170</v>
      </c>
      <c r="B32" s="19" t="s">
        <v>155</v>
      </c>
      <c r="C32" s="23" t="n">
        <v>0</v>
      </c>
      <c r="D32" s="23" t="n">
        <f aca="false">D27+D28+D29+D30+D31</f>
        <v>14380</v>
      </c>
      <c r="E32" s="23" t="n">
        <f aca="false">E27+E28+E29+E30+E31</f>
        <v>17162.5</v>
      </c>
      <c r="F32" s="23" t="n">
        <f aca="false">F27+F28+F29+F30+F31</f>
        <v>29168.3245</v>
      </c>
      <c r="G32" s="23" t="n">
        <f aca="false">G27+G28+G29+G30+G31</f>
        <v>32059.8072625</v>
      </c>
      <c r="H32" s="23" t="n">
        <f aca="false">H27+H28+H29+H30+H31</f>
        <v>34859.6783141125</v>
      </c>
      <c r="I32" s="23" t="n">
        <f aca="false">I27+I28+I29+I30+I31</f>
        <v>37588.4701074316</v>
      </c>
      <c r="J32" s="23" t="n">
        <f aca="false">J27+J28+J29+J30+J31</f>
        <v>40264.7976038263</v>
      </c>
      <c r="K32" s="23" t="n">
        <f aca="false">K27+K28+K29+K30+K31</f>
        <v>42905.6059317693</v>
      </c>
      <c r="L32" s="23" t="n">
        <f aca="false">L27+L28+L29+L30+L31</f>
        <v>45526.389538063</v>
      </c>
      <c r="M32" s="23" t="n">
        <f aca="false">M27+M28+M29+M30+M31</f>
        <v>48141.3862820489</v>
      </c>
      <c r="N32" s="23" t="n">
        <f aca="false">N27+N28+N29+N30+N31</f>
        <v>50763.7495117062</v>
      </c>
      <c r="O32" s="23" t="n">
        <f aca="false">O27+O28+O29+O30+O31</f>
        <v>53405.7007987491</v>
      </c>
      <c r="P32" s="23" t="n">
        <f aca="false">P27+P28+P29+P30+P31</f>
        <v>56078.6656914926</v>
      </c>
      <c r="Q32" s="23" t="n">
        <f aca="false">Q27+Q28+Q29+Q30+Q31</f>
        <v>58793.3945641672</v>
      </c>
      <c r="R32" s="23" t="n">
        <f aca="false">R27+R28+R29+R30+R31</f>
        <v>61560.0703949446</v>
      </c>
      <c r="S32" s="23" t="n">
        <f aca="false">S27+S28+S29+S30+S31</f>
        <v>64388.4050881503</v>
      </c>
      <c r="T32" s="23" t="n">
        <f aca="false">T27+T28+T29+T30+T31</f>
        <v>67287.725765443</v>
      </c>
      <c r="U32" s="23" t="n">
        <f aca="false">U27+U28+U29+U30+U31</f>
        <v>70267.0522830028</v>
      </c>
      <c r="V32" s="23" t="n">
        <f aca="false">V27+V28+V29+V30+V31</f>
        <v>73335.1670842517</v>
      </c>
      <c r="W32" s="23" t="n">
        <f aca="false">W27+W28+W29+W30+W31</f>
        <v>76500.6783679056</v>
      </c>
      <c r="X32" s="23" t="n">
        <f aca="false">X27+X28+X29+X30+X31</f>
        <v>79772.0774371005</v>
      </c>
      <c r="Y32" s="23" t="n">
        <f aca="false">Y27+Y28+Y29+Y30+Y31</f>
        <v>83157.790995079</v>
      </c>
      <c r="Z32" s="23" t="n">
        <f aca="false">Z27+Z28+Z29+Z30+Z31</f>
        <v>86666.2290648089</v>
      </c>
      <c r="AA32" s="23" t="n">
        <f aca="false">AA27+AA28+AA29+AA30+AA31</f>
        <v>90305.8291324954</v>
      </c>
      <c r="AB32" s="23" t="n">
        <f aca="false">AB27+AB28+AB29+AB30+AB31</f>
        <v>94085.0970469596</v>
      </c>
      <c r="AC32" s="23" t="n">
        <f aca="false">AC27+AC28+AC29+AC30+AC31</f>
        <v>98012.6451471644</v>
      </c>
      <c r="AD32" s="23" t="n">
        <f aca="false">AD27+AD28+AD29+AD30+AD31</f>
        <v>102097.228037797</v>
      </c>
      <c r="AE32" s="23" t="n">
        <f aca="false">AE27+AE28+AE29+AE30+AE31</f>
        <v>106347.776386883</v>
      </c>
      <c r="AF32" s="23" t="n">
        <f aca="false">AF27+AF28+AF29+AF30+AF31</f>
        <v>110773.42907916</v>
      </c>
      <c r="AG32" s="23" t="n">
        <f aca="false">AG27+AG28+AG29+AG30+AG31</f>
        <v>115383.564023695</v>
      </c>
      <c r="AH32" s="23" t="n">
        <f aca="false">AH27+AH28+AH29+AH30+AH31</f>
        <v>120187.827883408</v>
      </c>
      <c r="AI32" s="23" t="n">
        <f aca="false">AI27+AI28+AI29+AI30+AI31</f>
        <v>125196.164967219</v>
      </c>
      <c r="AJ32" s="23" t="n">
        <f aca="false">AJ27+AJ28+AJ29+AJ30+AJ31</f>
        <v>130418.845502094</v>
      </c>
      <c r="AK32" s="23" t="n">
        <f aca="false">AK27+AK28+AK29+AK30+AK31</f>
        <v>135866.493481748</v>
      </c>
      <c r="AL32" s="23" t="n">
        <f aca="false">AL27+AL28+AL29+AL30+AL31</f>
        <v>141550.114271068</v>
      </c>
      <c r="AM32" s="23" t="n">
        <f aca="false">AM27+AM28+AM29+AM30+AM31</f>
        <v>147481.122129871</v>
      </c>
      <c r="AN32" s="23" t="n">
        <f aca="false">AN27+AN28+AN29+AN30+AN31</f>
        <v>153671.367806378</v>
      </c>
      <c r="AO32" s="23" t="n">
        <f aca="false">AO27+AO28+AO29+AO30+AO31</f>
        <v>160133.166339293</v>
      </c>
      <c r="AP32" s="23" t="n">
        <f aca="false">AP27+AP28+AP29+AP30+AP31</f>
        <v>166879.325197682</v>
      </c>
      <c r="AQ32" s="23" t="n">
        <f aca="false">AQ27+AQ28+AQ29+AQ30+AQ31</f>
        <v>173923.172879455</v>
      </c>
      <c r="AR32" s="23" t="n">
        <f aca="false">AR27+AR28+AR29+AR30+AR31</f>
        <v>181278.58808232</v>
      </c>
      <c r="AS32" s="23" t="n">
        <f aca="false">AS27+AS28+AS29+AS30+AS31</f>
        <v>188960.029555208</v>
      </c>
      <c r="AT32" s="23" t="n">
        <f aca="false">AT27+AT28+AT29+AT30+AT31</f>
        <v>196982.566733361</v>
      </c>
      <c r="AU32" s="23" t="n">
        <f aca="false">AU27+AU28+AU29+AU30+AU31</f>
        <v>205361.911256434</v>
      </c>
      <c r="AV32" s="23" t="n">
        <f aca="false">AV27+AV28+AV29+AV30+AV31</f>
        <v>214114.449465897</v>
      </c>
      <c r="AW32" s="23" t="n">
        <f aca="false">AW27+AW28+AW29+AW30+AW31</f>
        <v>223257.275975782</v>
      </c>
      <c r="AX32" s="23" t="n">
        <f aca="false">AX27+AX28+AX29+AX30+AX31</f>
        <v>232808.228409165</v>
      </c>
      <c r="AY32" s="23" t="n">
        <f aca="false">AY27+AY28+AY29+AY30+AY31</f>
        <v>242785.923391862</v>
      </c>
      <c r="AZ32" s="23" t="n">
        <f aca="false">AZ27+AZ28+AZ29+AZ30+AZ31</f>
        <v>253209.79389432</v>
      </c>
      <c r="BA32" s="23" t="n">
        <f aca="false">BA27+BA28+BA29+BA30+BA31</f>
        <v>264100.128012861</v>
      </c>
      <c r="BB32" s="23" t="n">
        <f aca="false">BB27+BB28+BB29+BB30+BB31</f>
        <v>275478.109281945</v>
      </c>
      <c r="BC32" s="23" t="n">
        <f aca="false">BC27+BC28+BC29+BC30+BC31</f>
        <v>287365.858610178</v>
      </c>
      <c r="BD32" s="23" t="n">
        <f aca="false">BD27+BD28+BD29+BD30+BD31</f>
        <v>299786.477934191</v>
      </c>
      <c r="BE32" s="23" t="n">
        <f aca="false">BE27+BE28+BE29+BE30+BE31</f>
        <v>312764.095686359</v>
      </c>
      <c r="BF32" s="23" t="n">
        <f aca="false">BF27+BF28+BF29+BF30+BF31</f>
        <v>335323.914174461</v>
      </c>
      <c r="BG32" s="23" t="n">
        <f aca="false">BG27+BG28+BG29+BG30+BG31</f>
        <v>349420.471973992</v>
      </c>
      <c r="BH32" s="23" t="n">
        <f aca="false">BH27+BH28+BH29+BH30+BH31</f>
        <v>358446.165947286</v>
      </c>
      <c r="BI32" s="23" t="n">
        <f aca="false">BI27+BI28+BI29+BI30+BI31</f>
        <v>366726.566048188</v>
      </c>
      <c r="BJ32" s="23" t="n">
        <f aca="false">BJ27+BJ28+BJ29+BJ30+BJ31</f>
        <v>374180.757736107</v>
      </c>
      <c r="BK32" s="23" t="n">
        <f aca="false">BK27+BK28+BK29+BK30+BK31</f>
        <v>380897.839644653</v>
      </c>
    </row>
    <row r="34" customFormat="false" ht="15" hidden="false" customHeight="false" outlineLevel="0" collapsed="false">
      <c r="A34" s="12" t="s">
        <v>171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</row>
    <row r="35" customFormat="false" ht="15" hidden="false" customHeight="false" outlineLevel="0" collapsed="false">
      <c r="A35" s="13" t="s">
        <v>172</v>
      </c>
      <c r="B35" s="19" t="s">
        <v>155</v>
      </c>
      <c r="C35" s="23" t="n">
        <v>0</v>
      </c>
      <c r="D35" s="23" t="n">
        <f aca="false">D24-D32</f>
        <v>-10180</v>
      </c>
      <c r="E35" s="23" t="n">
        <f aca="false">E24-E32</f>
        <v>-9077.5</v>
      </c>
      <c r="F35" s="23" t="n">
        <f aca="false">F24-F32</f>
        <v>-13761.4195</v>
      </c>
      <c r="G35" s="23" t="n">
        <f aca="false">G24-G32</f>
        <v>-9593.9851375</v>
      </c>
      <c r="H35" s="23" t="n">
        <f aca="false">H24-H32</f>
        <v>-5553.2143214875</v>
      </c>
      <c r="I35" s="23" t="n">
        <f aca="false">I24-I32</f>
        <v>-1618.82748217844</v>
      </c>
      <c r="J35" s="23" t="n">
        <f aca="false">J24-J32</f>
        <v>2227.95345983201</v>
      </c>
      <c r="K35" s="23" t="n">
        <f aca="false">K24-K32</f>
        <v>6004.58500739437</v>
      </c>
      <c r="L35" s="23" t="n">
        <f aca="false">L24-L32</f>
        <v>9727.36293150274</v>
      </c>
      <c r="M35" s="23" t="n">
        <f aca="false">M24-M32</f>
        <v>13411.5662966372</v>
      </c>
      <c r="N35" s="23" t="n">
        <f aca="false">N24-N32</f>
        <v>17071.5866539333</v>
      </c>
      <c r="O35" s="23" t="n">
        <f aca="false">O24-O32</f>
        <v>20721.0441580676</v>
      </c>
      <c r="P35" s="23" t="n">
        <f aca="false">P24-P32</f>
        <v>24372.8921600187</v>
      </c>
      <c r="Q35" s="23" t="n">
        <f aca="false">Q24-Q32</f>
        <v>28039.5116484109</v>
      </c>
      <c r="R35" s="23" t="n">
        <f aca="false">R24-R32</f>
        <v>31732.7967540836</v>
      </c>
      <c r="S35" s="23" t="n">
        <f aca="false">S24-S32</f>
        <v>35464.2323933033</v>
      </c>
      <c r="T35" s="23" t="n">
        <f aca="false">T24-T32</f>
        <v>39244.9650024105</v>
      </c>
      <c r="U35" s="23" t="n">
        <f aca="false">U24-U32</f>
        <v>43085.8672086938</v>
      </c>
      <c r="V35" s="23" t="n">
        <f aca="false">V24-V32</f>
        <v>46997.5971871783</v>
      </c>
      <c r="W35" s="23" t="n">
        <f aca="false">W24-W32</f>
        <v>50990.653369263</v>
      </c>
      <c r="X35" s="23" t="n">
        <f aca="false">X24-X32</f>
        <v>55075.4250954183</v>
      </c>
      <c r="Y35" s="23" t="n">
        <f aca="false">Y24-Y32</f>
        <v>59262.2397392472</v>
      </c>
      <c r="Z35" s="23" t="n">
        <f aca="false">Z24-Z32</f>
        <v>63561.4067731088</v>
      </c>
      <c r="AA35" s="23" t="n">
        <f aca="false">AA24-AA32</f>
        <v>67983.2591952592</v>
      </c>
      <c r="AB35" s="23" t="n">
        <f aca="false">AB24-AB32</f>
        <v>72538.1926942853</v>
      </c>
      <c r="AC35" s="23" t="n">
        <f aca="false">AC24-AC32</f>
        <v>77236.7028877834</v>
      </c>
      <c r="AD35" s="23" t="n">
        <f aca="false">AD24-AD32</f>
        <v>82089.420938128</v>
      </c>
      <c r="AE35" s="23" t="n">
        <f aca="false">AE24-AE32</f>
        <v>87107.1478182522</v>
      </c>
      <c r="AF35" s="23" t="n">
        <f aca="false">AF24-AF32</f>
        <v>92300.8874741164</v>
      </c>
      <c r="AG35" s="23" t="n">
        <f aca="false">AG24-AG32</f>
        <v>97681.879107572</v>
      </c>
      <c r="AH35" s="23" t="n">
        <f aca="false">AH24-AH32</f>
        <v>103261.628783227</v>
      </c>
      <c r="AI35" s="23" t="n">
        <f aca="false">AI24-AI32</f>
        <v>109051.940545397</v>
      </c>
      <c r="AJ35" s="23" t="n">
        <f aca="false">AJ24-AJ32</f>
        <v>115064.947215941</v>
      </c>
      <c r="AK35" s="23" t="n">
        <f aca="false">AK24-AK32</f>
        <v>121313.141030541</v>
      </c>
      <c r="AL35" s="23" t="n">
        <f aca="false">AL24-AL32</f>
        <v>127809.404259488</v>
      </c>
      <c r="AM35" s="23" t="n">
        <f aca="false">AM24-AM32</f>
        <v>134567.039949178</v>
      </c>
      <c r="AN35" s="23" t="n">
        <f aca="false">AN24-AN32</f>
        <v>141599.802912009</v>
      </c>
      <c r="AO35" s="23" t="n">
        <f aca="false">AO24-AO32</f>
        <v>148921.931085209</v>
      </c>
      <c r="AP35" s="23" t="n">
        <f aca="false">AP24-AP32</f>
        <v>156548.177372988</v>
      </c>
      <c r="AQ35" s="23" t="n">
        <f aca="false">AQ24-AQ32</f>
        <v>164493.842081377</v>
      </c>
      <c r="AR35" s="23" t="n">
        <f aca="false">AR24-AR32</f>
        <v>172774.806050924</v>
      </c>
      <c r="AS35" s="23" t="n">
        <f aca="false">AS24-AS32</f>
        <v>181407.56458908</v>
      </c>
      <c r="AT35" s="23" t="n">
        <f aca="false">AT24-AT32</f>
        <v>190409.262301489</v>
      </c>
      <c r="AU35" s="23" t="n">
        <f aca="false">AU24-AU32</f>
        <v>199797.728919472</v>
      </c>
      <c r="AV35" s="23" t="n">
        <f aca="false">AV24-AV32</f>
        <v>209591.516219644</v>
      </c>
      <c r="AW35" s="23" t="n">
        <f aca="false">AW24-AW32</f>
        <v>219809.936130852</v>
      </c>
      <c r="AX35" s="23" t="n">
        <f aca="false">AX24-AX32</f>
        <v>230473.100123346</v>
      </c>
      <c r="AY35" s="23" t="n">
        <f aca="false">AY24-AY32</f>
        <v>241601.959975327</v>
      </c>
      <c r="AZ35" s="23" t="n">
        <f aca="false">AZ24-AZ32</f>
        <v>253218.350012665</v>
      </c>
      <c r="BA35" s="23" t="n">
        <f aca="false">BA24-BA32</f>
        <v>265345.030918643</v>
      </c>
      <c r="BB35" s="23" t="n">
        <f aca="false">BB24-BB32</f>
        <v>278005.73521206</v>
      </c>
      <c r="BC35" s="23" t="n">
        <f aca="false">BC24-BC32</f>
        <v>291225.214493831</v>
      </c>
      <c r="BD35" s="23" t="n">
        <f aca="false">BD24-BD32</f>
        <v>305029.288564411</v>
      </c>
      <c r="BE35" s="23" t="n">
        <f aca="false">BE24-BE32</f>
        <v>319444.896516872</v>
      </c>
      <c r="BF35" s="23" t="n">
        <f aca="false">BF24-BF32</f>
        <v>325500.149913321</v>
      </c>
      <c r="BG35" s="23" t="n">
        <f aca="false">BG24-BG32</f>
        <v>341269.680832084</v>
      </c>
      <c r="BH35" s="23" t="n">
        <f aca="false">BH24-BH32</f>
        <v>361321.449080408</v>
      </c>
      <c r="BI35" s="23" t="n">
        <f aca="false">BI24-BI32</f>
        <v>381526.385195094</v>
      </c>
      <c r="BJ35" s="23" t="n">
        <f aca="false">BJ24-BJ32</f>
        <v>400312.202375758</v>
      </c>
      <c r="BK35" s="23" t="n">
        <f aca="false">BK24-BK32</f>
        <v>417788.866490497</v>
      </c>
    </row>
    <row r="36" customFormat="false" ht="15" hidden="false" customHeight="false" outlineLevel="0" collapsed="false">
      <c r="A36" s="13" t="s">
        <v>173</v>
      </c>
      <c r="B36" s="19" t="s">
        <v>155</v>
      </c>
      <c r="C36" s="23" t="n">
        <f aca="false">Premissas!$C$33</f>
        <v>-21000</v>
      </c>
      <c r="D36" s="23" t="n">
        <f aca="false">C36+D35</f>
        <v>-31180</v>
      </c>
      <c r="E36" s="23" t="n">
        <f aca="false">D36+E35</f>
        <v>-40257.5</v>
      </c>
      <c r="F36" s="23" t="n">
        <f aca="false">E36+F35</f>
        <v>-54018.9195</v>
      </c>
      <c r="G36" s="23" t="n">
        <f aca="false">F36+G35</f>
        <v>-63612.9046375</v>
      </c>
      <c r="H36" s="23" t="n">
        <f aca="false">G36+H35</f>
        <v>-69166.1189589875</v>
      </c>
      <c r="I36" s="23" t="n">
        <f aca="false">H36+I35</f>
        <v>-70784.9464411659</v>
      </c>
      <c r="J36" s="23" t="n">
        <f aca="false">I36+J35</f>
        <v>-68556.9929813339</v>
      </c>
      <c r="K36" s="23" t="n">
        <f aca="false">J36+K35</f>
        <v>-62552.4079739396</v>
      </c>
      <c r="L36" s="23" t="n">
        <f aca="false">K36+L35</f>
        <v>-52825.0450424368</v>
      </c>
      <c r="M36" s="23" t="n">
        <f aca="false">L36+M35</f>
        <v>-39413.4787457997</v>
      </c>
      <c r="N36" s="23" t="n">
        <f aca="false">M36+N35</f>
        <v>-22341.8920918664</v>
      </c>
      <c r="O36" s="23" t="n">
        <f aca="false">N36+O35</f>
        <v>-1620.84793379882</v>
      </c>
      <c r="P36" s="23" t="n">
        <f aca="false">O36+P35</f>
        <v>22752.0442262199</v>
      </c>
      <c r="Q36" s="23" t="n">
        <f aca="false">P36+Q35</f>
        <v>50791.5558746307</v>
      </c>
      <c r="R36" s="23" t="n">
        <f aca="false">Q36+R35</f>
        <v>82524.3526287143</v>
      </c>
      <c r="S36" s="23" t="n">
        <f aca="false">R36+S35</f>
        <v>117988.585022018</v>
      </c>
      <c r="T36" s="23" t="n">
        <f aca="false">S36+T35</f>
        <v>157233.550024428</v>
      </c>
      <c r="U36" s="23" t="n">
        <f aca="false">T36+U35</f>
        <v>200319.417233122</v>
      </c>
      <c r="V36" s="23" t="n">
        <f aca="false">U36+V35</f>
        <v>247317.0144203</v>
      </c>
      <c r="W36" s="23" t="n">
        <f aca="false">V36+W35</f>
        <v>298307.667789563</v>
      </c>
      <c r="X36" s="23" t="n">
        <f aca="false">W36+X35</f>
        <v>353383.092884981</v>
      </c>
      <c r="Y36" s="23" t="n">
        <f aca="false">X36+Y35</f>
        <v>412645.332624229</v>
      </c>
      <c r="Z36" s="23" t="n">
        <f aca="false">Y36+Z35</f>
        <v>476206.739397337</v>
      </c>
      <c r="AA36" s="23" t="n">
        <f aca="false">Z36+AA35</f>
        <v>544189.998592597</v>
      </c>
      <c r="AB36" s="23" t="n">
        <f aca="false">AA36+AB35</f>
        <v>616728.191286882</v>
      </c>
      <c r="AC36" s="23" t="n">
        <f aca="false">AB36+AC35</f>
        <v>693964.894174665</v>
      </c>
      <c r="AD36" s="23" t="n">
        <f aca="false">AC36+AD35</f>
        <v>776054.315112793</v>
      </c>
      <c r="AE36" s="23" t="n">
        <f aca="false">AD36+AE35</f>
        <v>863161.462931045</v>
      </c>
      <c r="AF36" s="23" t="n">
        <f aca="false">AE36+AF35</f>
        <v>955462.350405162</v>
      </c>
      <c r="AG36" s="23" t="n">
        <f aca="false">AF36+AG35</f>
        <v>1053144.22951273</v>
      </c>
      <c r="AH36" s="23" t="n">
        <f aca="false">AG36+AH35</f>
        <v>1156405.85829596</v>
      </c>
      <c r="AI36" s="23" t="n">
        <f aca="false">AH36+AI35</f>
        <v>1265457.79884136</v>
      </c>
      <c r="AJ36" s="23" t="n">
        <f aca="false">AI36+AJ35</f>
        <v>1380522.7460573</v>
      </c>
      <c r="AK36" s="23" t="n">
        <f aca="false">AJ36+AK35</f>
        <v>1501835.88708784</v>
      </c>
      <c r="AL36" s="23" t="n">
        <f aca="false">AK36+AL35</f>
        <v>1629645.29134733</v>
      </c>
      <c r="AM36" s="23" t="n">
        <f aca="false">AL36+AM35</f>
        <v>1764212.33129651</v>
      </c>
      <c r="AN36" s="23" t="n">
        <f aca="false">AM36+AN35</f>
        <v>1905812.13420852</v>
      </c>
      <c r="AO36" s="23" t="n">
        <f aca="false">AN36+AO35</f>
        <v>2054734.06529373</v>
      </c>
      <c r="AP36" s="23" t="n">
        <f aca="false">AO36+AP35</f>
        <v>2211282.24266671</v>
      </c>
      <c r="AQ36" s="23" t="n">
        <f aca="false">AP36+AQ35</f>
        <v>2375776.08474809</v>
      </c>
      <c r="AR36" s="23" t="n">
        <f aca="false">AQ36+AR35</f>
        <v>2548550.89079902</v>
      </c>
      <c r="AS36" s="23" t="n">
        <f aca="false">AR36+AS35</f>
        <v>2729958.4553881</v>
      </c>
      <c r="AT36" s="23" t="n">
        <f aca="false">AS36+AT35</f>
        <v>2920367.71768958</v>
      </c>
      <c r="AU36" s="23" t="n">
        <f aca="false">AT36+AU35</f>
        <v>3120165.44660906</v>
      </c>
      <c r="AV36" s="23" t="n">
        <f aca="false">AU36+AV35</f>
        <v>3329756.9628287</v>
      </c>
      <c r="AW36" s="23" t="n">
        <f aca="false">AV36+AW35</f>
        <v>3549566.89895955</v>
      </c>
      <c r="AX36" s="23" t="n">
        <f aca="false">AW36+AX35</f>
        <v>3780039.9990829</v>
      </c>
      <c r="AY36" s="23" t="n">
        <f aca="false">AX36+AY35</f>
        <v>4021641.95905822</v>
      </c>
      <c r="AZ36" s="23" t="n">
        <f aca="false">AY36+AZ35</f>
        <v>4274860.30907089</v>
      </c>
      <c r="BA36" s="23" t="n">
        <f aca="false">AZ36+BA35</f>
        <v>4540205.33998953</v>
      </c>
      <c r="BB36" s="23" t="n">
        <f aca="false">BA36+BB35</f>
        <v>4818211.07520159</v>
      </c>
      <c r="BC36" s="23" t="n">
        <f aca="false">BB36+BC35</f>
        <v>5109436.28969542</v>
      </c>
      <c r="BD36" s="23" t="n">
        <f aca="false">BC36+BD35</f>
        <v>5414465.57825983</v>
      </c>
      <c r="BE36" s="23" t="n">
        <f aca="false">BD36+BE35</f>
        <v>5733910.47477671</v>
      </c>
      <c r="BF36" s="23" t="n">
        <f aca="false">BE36+BF35</f>
        <v>6059410.62469003</v>
      </c>
      <c r="BG36" s="23" t="n">
        <f aca="false">BF36+BG35</f>
        <v>6400680.30552211</v>
      </c>
      <c r="BH36" s="23" t="n">
        <f aca="false">BG36+BH35</f>
        <v>6762001.75460252</v>
      </c>
      <c r="BI36" s="23" t="n">
        <f aca="false">BH36+BI35</f>
        <v>7143528.13979761</v>
      </c>
      <c r="BJ36" s="23" t="n">
        <f aca="false">BI36+BJ35</f>
        <v>7543840.34217337</v>
      </c>
      <c r="BK36" s="23" t="n">
        <f aca="false">BJ36+BK35</f>
        <v>7961629.20866387</v>
      </c>
    </row>
  </sheetData>
  <mergeCells count="5">
    <mergeCell ref="D3:O3"/>
    <mergeCell ref="P3:AA3"/>
    <mergeCell ref="AB3:AM3"/>
    <mergeCell ref="AN3:AY3"/>
    <mergeCell ref="AZ3:B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19" t="s">
        <v>72</v>
      </c>
    </row>
    <row r="3" customFormat="false" ht="26.85" hidden="false" customHeight="true" outlineLevel="0" collapsed="false">
      <c r="A3" s="26" t="s">
        <v>73</v>
      </c>
      <c r="B3" s="26" t="s">
        <v>74</v>
      </c>
      <c r="C3" s="26" t="s">
        <v>75</v>
      </c>
      <c r="D3" s="26" t="s">
        <v>76</v>
      </c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 t="s">
        <v>77</v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 t="s">
        <v>78</v>
      </c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 t="s">
        <v>79</v>
      </c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 t="s">
        <v>80</v>
      </c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</row>
    <row r="4" customFormat="false" ht="15" hidden="false" customHeight="false" outlineLevel="0" collapsed="false">
      <c r="A4" s="7" t="s">
        <v>81</v>
      </c>
      <c r="B4" s="21"/>
      <c r="C4" s="21" t="s">
        <v>82</v>
      </c>
      <c r="D4" s="21" t="s">
        <v>83</v>
      </c>
      <c r="E4" s="21" t="s">
        <v>84</v>
      </c>
      <c r="F4" s="21" t="s">
        <v>85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  <c r="P4" s="21" t="s">
        <v>95</v>
      </c>
      <c r="Q4" s="21" t="s">
        <v>96</v>
      </c>
      <c r="R4" s="21" t="s">
        <v>97</v>
      </c>
      <c r="S4" s="21" t="s">
        <v>98</v>
      </c>
      <c r="T4" s="21" t="s">
        <v>99</v>
      </c>
      <c r="U4" s="21" t="s">
        <v>100</v>
      </c>
      <c r="V4" s="21" t="s">
        <v>101</v>
      </c>
      <c r="W4" s="21" t="s">
        <v>102</v>
      </c>
      <c r="X4" s="21" t="s">
        <v>103</v>
      </c>
      <c r="Y4" s="21" t="s">
        <v>104</v>
      </c>
      <c r="Z4" s="21" t="s">
        <v>105</v>
      </c>
      <c r="AA4" s="21" t="s">
        <v>106</v>
      </c>
      <c r="AB4" s="21" t="s">
        <v>107</v>
      </c>
      <c r="AC4" s="21" t="s">
        <v>108</v>
      </c>
      <c r="AD4" s="21" t="s">
        <v>109</v>
      </c>
      <c r="AE4" s="21" t="s">
        <v>110</v>
      </c>
      <c r="AF4" s="21" t="s">
        <v>111</v>
      </c>
      <c r="AG4" s="21" t="s">
        <v>112</v>
      </c>
      <c r="AH4" s="21" t="s">
        <v>113</v>
      </c>
      <c r="AI4" s="21" t="s">
        <v>114</v>
      </c>
      <c r="AJ4" s="21" t="s">
        <v>115</v>
      </c>
      <c r="AK4" s="21" t="s">
        <v>116</v>
      </c>
      <c r="AL4" s="21" t="s">
        <v>117</v>
      </c>
      <c r="AM4" s="21" t="s">
        <v>118</v>
      </c>
      <c r="AN4" s="21" t="s">
        <v>119</v>
      </c>
      <c r="AO4" s="21" t="s">
        <v>120</v>
      </c>
      <c r="AP4" s="21" t="s">
        <v>121</v>
      </c>
      <c r="AQ4" s="21" t="s">
        <v>122</v>
      </c>
      <c r="AR4" s="21" t="s">
        <v>123</v>
      </c>
      <c r="AS4" s="21" t="s">
        <v>124</v>
      </c>
      <c r="AT4" s="21" t="s">
        <v>125</v>
      </c>
      <c r="AU4" s="21" t="s">
        <v>126</v>
      </c>
      <c r="AV4" s="21" t="s">
        <v>127</v>
      </c>
      <c r="AW4" s="21" t="s">
        <v>128</v>
      </c>
      <c r="AX4" s="21" t="s">
        <v>129</v>
      </c>
      <c r="AY4" s="21" t="s">
        <v>130</v>
      </c>
      <c r="AZ4" s="21" t="s">
        <v>131</v>
      </c>
      <c r="BA4" s="21" t="s">
        <v>132</v>
      </c>
      <c r="BB4" s="21" t="s">
        <v>133</v>
      </c>
      <c r="BC4" s="21" t="s">
        <v>134</v>
      </c>
      <c r="BD4" s="21" t="s">
        <v>135</v>
      </c>
      <c r="BE4" s="21" t="s">
        <v>136</v>
      </c>
      <c r="BF4" s="21" t="s">
        <v>137</v>
      </c>
      <c r="BG4" s="21" t="s">
        <v>138</v>
      </c>
      <c r="BH4" s="21" t="s">
        <v>139</v>
      </c>
      <c r="BI4" s="21" t="s">
        <v>140</v>
      </c>
      <c r="BJ4" s="21" t="s">
        <v>141</v>
      </c>
      <c r="BK4" s="21" t="s">
        <v>142</v>
      </c>
    </row>
    <row r="6" customFormat="false" ht="15" hidden="false" customHeight="false" outlineLevel="0" collapsed="false">
      <c r="A6" s="9" t="s">
        <v>143</v>
      </c>
      <c r="B6" s="19" t="s">
        <v>144</v>
      </c>
      <c r="C6" s="22" t="n">
        <v>0</v>
      </c>
      <c r="D6" s="22" t="n">
        <f aca="false">MIN(Premissas!$D$9,Premissas!$D$11)</f>
        <v>150</v>
      </c>
      <c r="E6" s="22" t="n">
        <f aca="false">MIN(D6*(1+Premissas!$D$10),Premissas!$D$11)</f>
        <v>162</v>
      </c>
      <c r="F6" s="22" t="n">
        <f aca="false">MIN(E6*(1+Premissas!$D$10),Premissas!$D$11)</f>
        <v>174.96</v>
      </c>
      <c r="G6" s="22" t="n">
        <f aca="false">MIN(F6*(1+Premissas!$D$10),Premissas!$D$11)</f>
        <v>188.9568</v>
      </c>
      <c r="H6" s="22" t="n">
        <f aca="false">MIN(G6*(1+Premissas!$D$10),Premissas!$D$11)</f>
        <v>204.073344</v>
      </c>
      <c r="I6" s="22" t="n">
        <f aca="false">MIN(H6*(1+Premissas!$D$10),Premissas!$D$11)</f>
        <v>220.39921152</v>
      </c>
      <c r="J6" s="22" t="n">
        <f aca="false">MIN(I6*(1+Premissas!$D$10),Premissas!$D$11)</f>
        <v>238.0311484416</v>
      </c>
      <c r="K6" s="22" t="n">
        <f aca="false">MIN(J6*(1+Premissas!$D$10),Premissas!$D$11)</f>
        <v>257.073640316928</v>
      </c>
      <c r="L6" s="22" t="n">
        <f aca="false">MIN(K6*(1+Premissas!$D$10),Premissas!$D$11)</f>
        <v>277.639531542282</v>
      </c>
      <c r="M6" s="22" t="n">
        <f aca="false">MIN(L6*(1+Premissas!$D$10),Premissas!$D$11)</f>
        <v>299.850694065665</v>
      </c>
      <c r="N6" s="22" t="n">
        <f aca="false">MIN(M6*(1+Premissas!$D$10),Premissas!$D$11)</f>
        <v>323.838749590918</v>
      </c>
      <c r="O6" s="22" t="n">
        <f aca="false">MIN(N6*(1+Premissas!$D$10),Premissas!$D$11)</f>
        <v>349.745849558192</v>
      </c>
      <c r="P6" s="22" t="n">
        <f aca="false">MIN(O6*(1+Premissas!$D$10),Premissas!$D$11)</f>
        <v>377.725517522847</v>
      </c>
      <c r="Q6" s="22" t="n">
        <f aca="false">MIN(P6*(1+Premissas!$D$10),Premissas!$D$11)</f>
        <v>407.943558924675</v>
      </c>
      <c r="R6" s="22" t="n">
        <f aca="false">MIN(Q6*(1+Premissas!$D$10),Premissas!$D$11)</f>
        <v>440.579043638649</v>
      </c>
      <c r="S6" s="22" t="n">
        <f aca="false">MIN(R6*(1+Premissas!$D$10),Premissas!$D$11)</f>
        <v>475.825367129741</v>
      </c>
      <c r="T6" s="22" t="n">
        <f aca="false">MIN(S6*(1+Premissas!$D$10),Premissas!$D$11)</f>
        <v>513.89139650012</v>
      </c>
      <c r="U6" s="22" t="n">
        <f aca="false">MIN(T6*(1+Premissas!$D$10),Premissas!$D$11)</f>
        <v>555.00270822013</v>
      </c>
      <c r="V6" s="22" t="n">
        <f aca="false">MIN(U6*(1+Premissas!$D$10),Premissas!$D$11)</f>
        <v>599.40292487774</v>
      </c>
      <c r="W6" s="22" t="n">
        <f aca="false">MIN(V6*(1+Premissas!$D$10),Premissas!$D$11)</f>
        <v>647.355158867959</v>
      </c>
      <c r="X6" s="22" t="n">
        <f aca="false">MIN(W6*(1+Premissas!$D$10),Premissas!$D$11)</f>
        <v>699.143571577396</v>
      </c>
      <c r="Y6" s="22" t="n">
        <f aca="false">MIN(X6*(1+Premissas!$D$10),Premissas!$D$11)</f>
        <v>755.075057303588</v>
      </c>
      <c r="Z6" s="22" t="n">
        <f aca="false">MIN(Y6*(1+Premissas!$D$10),Premissas!$D$11)</f>
        <v>815.481061887875</v>
      </c>
      <c r="AA6" s="22" t="n">
        <f aca="false">MIN(Z6*(1+Premissas!$D$10),Premissas!$D$11)</f>
        <v>880.719546838905</v>
      </c>
      <c r="AB6" s="22" t="n">
        <f aca="false">MIN(AA6*(1+Premissas!$D$10),Premissas!$D$11)</f>
        <v>951.177110586017</v>
      </c>
      <c r="AC6" s="22" t="n">
        <f aca="false">MIN(AB6*(1+Premissas!$D$10),Premissas!$D$11)</f>
        <v>1027.2712794329</v>
      </c>
      <c r="AD6" s="22" t="n">
        <f aca="false">MIN(AC6*(1+Premissas!$D$10),Premissas!$D$11)</f>
        <v>1109.45298178753</v>
      </c>
      <c r="AE6" s="22" t="n">
        <f aca="false">MIN(AD6*(1+Premissas!$D$10),Premissas!$D$11)</f>
        <v>1198.20922033053</v>
      </c>
      <c r="AF6" s="22" t="n">
        <f aca="false">MIN(AE6*(1+Premissas!$D$10),Premissas!$D$11)</f>
        <v>1294.06595795698</v>
      </c>
      <c r="AG6" s="22" t="n">
        <f aca="false">MIN(AF6*(1+Premissas!$D$10),Premissas!$D$11)</f>
        <v>1397.59123459353</v>
      </c>
      <c r="AH6" s="22" t="n">
        <f aca="false">MIN(AG6*(1+Premissas!$D$10),Premissas!$D$11)</f>
        <v>1509.39853336102</v>
      </c>
      <c r="AI6" s="22" t="n">
        <f aca="false">MIN(AH6*(1+Premissas!$D$10),Premissas!$D$11)</f>
        <v>1630.1504160299</v>
      </c>
      <c r="AJ6" s="22" t="n">
        <f aca="false">MIN(AI6*(1+Premissas!$D$10),Premissas!$D$11)</f>
        <v>1760.56244931229</v>
      </c>
      <c r="AK6" s="22" t="n">
        <f aca="false">MIN(AJ6*(1+Premissas!$D$10),Premissas!$D$11)</f>
        <v>1901.40744525727</v>
      </c>
      <c r="AL6" s="22" t="n">
        <f aca="false">MIN(AK6*(1+Premissas!$D$10),Premissas!$D$11)</f>
        <v>2053.52004087786</v>
      </c>
      <c r="AM6" s="22" t="n">
        <f aca="false">MIN(AL6*(1+Premissas!$D$10),Premissas!$D$11)</f>
        <v>2200</v>
      </c>
      <c r="AN6" s="22" t="n">
        <f aca="false">MIN(AM6*(1+Premissas!$D$10),Premissas!$D$11)</f>
        <v>2200</v>
      </c>
      <c r="AO6" s="22" t="n">
        <f aca="false">MIN(AN6*(1+Premissas!$D$10),Premissas!$D$11)</f>
        <v>2200</v>
      </c>
      <c r="AP6" s="22" t="n">
        <f aca="false">MIN(AO6*(1+Premissas!$D$10),Premissas!$D$11)</f>
        <v>2200</v>
      </c>
      <c r="AQ6" s="22" t="n">
        <f aca="false">MIN(AP6*(1+Premissas!$D$10),Premissas!$D$11)</f>
        <v>2200</v>
      </c>
      <c r="AR6" s="22" t="n">
        <f aca="false">MIN(AQ6*(1+Premissas!$D$10),Premissas!$D$11)</f>
        <v>2200</v>
      </c>
      <c r="AS6" s="22" t="n">
        <f aca="false">MIN(AR6*(1+Premissas!$D$10),Premissas!$D$11)</f>
        <v>2200</v>
      </c>
      <c r="AT6" s="22" t="n">
        <f aca="false">MIN(AS6*(1+Premissas!$D$10),Premissas!$D$11)</f>
        <v>2200</v>
      </c>
      <c r="AU6" s="22" t="n">
        <f aca="false">MIN(AT6*(1+Premissas!$D$10),Premissas!$D$11)</f>
        <v>2200</v>
      </c>
      <c r="AV6" s="22" t="n">
        <f aca="false">MIN(AU6*(1+Premissas!$D$10),Premissas!$D$11)</f>
        <v>2200</v>
      </c>
      <c r="AW6" s="22" t="n">
        <f aca="false">MIN(AV6*(1+Premissas!$D$10),Premissas!$D$11)</f>
        <v>2200</v>
      </c>
      <c r="AX6" s="22" t="n">
        <f aca="false">MIN(AW6*(1+Premissas!$D$10),Premissas!$D$11)</f>
        <v>2200</v>
      </c>
      <c r="AY6" s="22" t="n">
        <f aca="false">MIN(AX6*(1+Premissas!$D$10),Premissas!$D$11)</f>
        <v>2200</v>
      </c>
      <c r="AZ6" s="22" t="n">
        <f aca="false">MIN(AY6*(1+Premissas!$D$10),Premissas!$D$11)</f>
        <v>2200</v>
      </c>
      <c r="BA6" s="22" t="n">
        <f aca="false">MIN(AZ6*(1+Premissas!$D$10),Premissas!$D$11)</f>
        <v>2200</v>
      </c>
      <c r="BB6" s="22" t="n">
        <f aca="false">MIN(BA6*(1+Premissas!$D$10),Premissas!$D$11)</f>
        <v>2200</v>
      </c>
      <c r="BC6" s="22" t="n">
        <f aca="false">MIN(BB6*(1+Premissas!$D$10),Premissas!$D$11)</f>
        <v>2200</v>
      </c>
      <c r="BD6" s="22" t="n">
        <f aca="false">MIN(BC6*(1+Premissas!$D$10),Premissas!$D$11)</f>
        <v>2200</v>
      </c>
      <c r="BE6" s="22" t="n">
        <f aca="false">MIN(BD6*(1+Premissas!$D$10),Premissas!$D$11)</f>
        <v>2200</v>
      </c>
      <c r="BF6" s="22" t="n">
        <f aca="false">MIN(BE6*(1+Premissas!$D$10),Premissas!$D$11)</f>
        <v>2200</v>
      </c>
      <c r="BG6" s="22" t="n">
        <f aca="false">MIN(BF6*(1+Premissas!$D$10),Premissas!$D$11)</f>
        <v>2200</v>
      </c>
      <c r="BH6" s="22" t="n">
        <f aca="false">MIN(BG6*(1+Premissas!$D$10),Premissas!$D$11)</f>
        <v>2200</v>
      </c>
      <c r="BI6" s="22" t="n">
        <f aca="false">MIN(BH6*(1+Premissas!$D$10),Premissas!$D$11)</f>
        <v>2200</v>
      </c>
      <c r="BJ6" s="22" t="n">
        <f aca="false">MIN(BI6*(1+Premissas!$D$10),Premissas!$D$11)</f>
        <v>2200</v>
      </c>
      <c r="BK6" s="22" t="n">
        <f aca="false">MIN(BJ6*(1+Premissas!$D$10),Premissas!$D$11)</f>
        <v>2200</v>
      </c>
    </row>
    <row r="7" customFormat="false" ht="15" hidden="false" customHeight="false" outlineLevel="0" collapsed="false">
      <c r="A7" s="9" t="s">
        <v>145</v>
      </c>
      <c r="B7" s="19" t="s">
        <v>144</v>
      </c>
      <c r="C7" s="22" t="n">
        <v>0</v>
      </c>
      <c r="D7" s="22" t="n">
        <v>0</v>
      </c>
      <c r="E7" s="22" t="n">
        <f aca="false">C6*Premissas!$D$12</f>
        <v>0</v>
      </c>
      <c r="F7" s="22" t="n">
        <f aca="false">D6*Premissas!$D$12</f>
        <v>16.5</v>
      </c>
      <c r="G7" s="22" t="n">
        <f aca="false">E6*Premissas!$D$12</f>
        <v>17.82</v>
      </c>
      <c r="H7" s="22" t="n">
        <f aca="false">F6*Premissas!$D$12</f>
        <v>19.2456</v>
      </c>
      <c r="I7" s="22" t="n">
        <f aca="false">G6*Premissas!$D$12</f>
        <v>20.785248</v>
      </c>
      <c r="J7" s="22" t="n">
        <f aca="false">H6*Premissas!$D$12</f>
        <v>22.44806784</v>
      </c>
      <c r="K7" s="22" t="n">
        <f aca="false">I6*Premissas!$D$12</f>
        <v>24.2439132672</v>
      </c>
      <c r="L7" s="22" t="n">
        <f aca="false">J6*Premissas!$D$12</f>
        <v>26.183426328576</v>
      </c>
      <c r="M7" s="22" t="n">
        <f aca="false">K6*Premissas!$D$12</f>
        <v>28.2781004348621</v>
      </c>
      <c r="N7" s="22" t="n">
        <f aca="false">L6*Premissas!$D$12</f>
        <v>30.5403484696511</v>
      </c>
      <c r="O7" s="22" t="n">
        <f aca="false">M6*Premissas!$D$12</f>
        <v>32.9835763472231</v>
      </c>
      <c r="P7" s="22" t="n">
        <f aca="false">N6*Premissas!$D$12</f>
        <v>35.622262455001</v>
      </c>
      <c r="Q7" s="22" t="n">
        <f aca="false">O6*Premissas!$D$12</f>
        <v>38.4720434514011</v>
      </c>
      <c r="R7" s="22" t="n">
        <f aca="false">P6*Premissas!$D$12</f>
        <v>41.5498069275132</v>
      </c>
      <c r="S7" s="22" t="n">
        <f aca="false">Q6*Premissas!$D$12</f>
        <v>44.8737914817142</v>
      </c>
      <c r="T7" s="22" t="n">
        <f aca="false">R6*Premissas!$D$12</f>
        <v>48.4636948002514</v>
      </c>
      <c r="U7" s="22" t="n">
        <f aca="false">S6*Premissas!$D$12</f>
        <v>52.3407903842715</v>
      </c>
      <c r="V7" s="22" t="n">
        <f aca="false">T6*Premissas!$D$12</f>
        <v>56.5280536150132</v>
      </c>
      <c r="W7" s="22" t="n">
        <f aca="false">U6*Premissas!$D$12</f>
        <v>61.0502979042143</v>
      </c>
      <c r="X7" s="22" t="n">
        <f aca="false">V6*Premissas!$D$12</f>
        <v>65.9343217365514</v>
      </c>
      <c r="Y7" s="22" t="n">
        <f aca="false">W6*Premissas!$D$12</f>
        <v>71.2090674754755</v>
      </c>
      <c r="Z7" s="22" t="n">
        <f aca="false">X6*Premissas!$D$12</f>
        <v>76.9057928735136</v>
      </c>
      <c r="AA7" s="22" t="n">
        <f aca="false">Y6*Premissas!$D$12</f>
        <v>83.0582563033947</v>
      </c>
      <c r="AB7" s="22" t="n">
        <f aca="false">Z6*Premissas!$D$12</f>
        <v>89.7029168076662</v>
      </c>
      <c r="AC7" s="22" t="n">
        <f aca="false">AA6*Premissas!$D$12</f>
        <v>96.8791501522795</v>
      </c>
      <c r="AD7" s="22" t="n">
        <f aca="false">AB6*Premissas!$D$12</f>
        <v>104.629482164462</v>
      </c>
      <c r="AE7" s="22" t="n">
        <f aca="false">AC6*Premissas!$D$12</f>
        <v>112.999840737619</v>
      </c>
      <c r="AF7" s="22" t="n">
        <f aca="false">AD6*Premissas!$D$12</f>
        <v>122.039827996628</v>
      </c>
      <c r="AG7" s="22" t="n">
        <f aca="false">AE6*Premissas!$D$12</f>
        <v>131.803014236359</v>
      </c>
      <c r="AH7" s="22" t="n">
        <f aca="false">AF6*Premissas!$D$12</f>
        <v>142.347255375267</v>
      </c>
      <c r="AI7" s="22" t="n">
        <f aca="false">AG6*Premissas!$D$12</f>
        <v>153.735035805289</v>
      </c>
      <c r="AJ7" s="22" t="n">
        <f aca="false">AH6*Premissas!$D$12</f>
        <v>166.033838669712</v>
      </c>
      <c r="AK7" s="22" t="n">
        <f aca="false">AI6*Premissas!$D$12</f>
        <v>179.316545763289</v>
      </c>
      <c r="AL7" s="22" t="n">
        <f aca="false">AJ6*Premissas!$D$12</f>
        <v>193.661869424352</v>
      </c>
      <c r="AM7" s="22" t="n">
        <f aca="false">AK6*Premissas!$D$12</f>
        <v>209.1548189783</v>
      </c>
      <c r="AN7" s="22" t="n">
        <f aca="false">AL6*Premissas!$D$12</f>
        <v>225.887204496564</v>
      </c>
      <c r="AO7" s="22" t="n">
        <f aca="false">AM6*Premissas!$D$12</f>
        <v>242</v>
      </c>
      <c r="AP7" s="22" t="n">
        <f aca="false">AN6*Premissas!$D$12</f>
        <v>242</v>
      </c>
      <c r="AQ7" s="22" t="n">
        <f aca="false">AO6*Premissas!$D$12</f>
        <v>242</v>
      </c>
      <c r="AR7" s="22" t="n">
        <f aca="false">AP6*Premissas!$D$12</f>
        <v>242</v>
      </c>
      <c r="AS7" s="22" t="n">
        <f aca="false">AQ6*Premissas!$D$12</f>
        <v>242</v>
      </c>
      <c r="AT7" s="22" t="n">
        <f aca="false">AR6*Premissas!$D$12</f>
        <v>242</v>
      </c>
      <c r="AU7" s="22" t="n">
        <f aca="false">AS6*Premissas!$D$12</f>
        <v>242</v>
      </c>
      <c r="AV7" s="22" t="n">
        <f aca="false">AT6*Premissas!$D$12</f>
        <v>242</v>
      </c>
      <c r="AW7" s="22" t="n">
        <f aca="false">AU6*Premissas!$D$12</f>
        <v>242</v>
      </c>
      <c r="AX7" s="22" t="n">
        <f aca="false">AV6*Premissas!$D$12</f>
        <v>242</v>
      </c>
      <c r="AY7" s="22" t="n">
        <f aca="false">AW6*Premissas!$D$12</f>
        <v>242</v>
      </c>
      <c r="AZ7" s="22" t="n">
        <f aca="false">AX6*Premissas!$D$12</f>
        <v>242</v>
      </c>
      <c r="BA7" s="22" t="n">
        <f aca="false">AY6*Premissas!$D$12</f>
        <v>242</v>
      </c>
      <c r="BB7" s="22" t="n">
        <f aca="false">AZ6*Premissas!$D$12</f>
        <v>242</v>
      </c>
      <c r="BC7" s="22" t="n">
        <f aca="false">BA6*Premissas!$D$12</f>
        <v>242</v>
      </c>
      <c r="BD7" s="22" t="n">
        <f aca="false">BB6*Premissas!$D$12</f>
        <v>242</v>
      </c>
      <c r="BE7" s="22" t="n">
        <f aca="false">BC6*Premissas!$D$12</f>
        <v>242</v>
      </c>
      <c r="BF7" s="22" t="n">
        <f aca="false">BD6*Premissas!$D$12</f>
        <v>242</v>
      </c>
      <c r="BG7" s="22" t="n">
        <f aca="false">BE6*Premissas!$D$12</f>
        <v>242</v>
      </c>
      <c r="BH7" s="22" t="n">
        <f aca="false">BF6*Premissas!$D$12</f>
        <v>242</v>
      </c>
      <c r="BI7" s="22" t="n">
        <f aca="false">BG6*Premissas!$D$12</f>
        <v>242</v>
      </c>
      <c r="BJ7" s="22" t="n">
        <f aca="false">BH6*Premissas!$D$12</f>
        <v>242</v>
      </c>
      <c r="BK7" s="22" t="n">
        <f aca="false">BI6*Premissas!$D$12</f>
        <v>242</v>
      </c>
    </row>
    <row r="8" customFormat="false" ht="15" hidden="false" customHeight="false" outlineLevel="0" collapsed="false">
      <c r="A8" s="9" t="s">
        <v>146</v>
      </c>
      <c r="B8" s="19" t="s">
        <v>144</v>
      </c>
      <c r="C8" s="22" t="n">
        <v>0</v>
      </c>
      <c r="D8" s="22" t="n">
        <f aca="false">C8*(1-Premissas!$D$14)+D6-D7</f>
        <v>150</v>
      </c>
      <c r="E8" s="22" t="n">
        <f aca="false">D8*(1-Premissas!$D$14)+E6-E7</f>
        <v>298.5</v>
      </c>
      <c r="F8" s="22" t="n">
        <f aca="false">E8*(1-Premissas!$D$14)+F6-F7</f>
        <v>430.095</v>
      </c>
      <c r="G8" s="22" t="n">
        <f aca="false">F8*(1-Premissas!$D$14)+G6-G7</f>
        <v>562.52325</v>
      </c>
      <c r="H8" s="22" t="n">
        <f aca="false">G8*(1-Premissas!$D$14)+H6-H7</f>
        <v>696.7239015</v>
      </c>
      <c r="I8" s="22" t="n">
        <f aca="false">H8*(1-Premissas!$D$14)+I6-I7</f>
        <v>833.632713885</v>
      </c>
      <c r="J8" s="22" t="n">
        <f aca="false">I8*(1-Premissas!$D$14)+J6-J7</f>
        <v>974.18885023695</v>
      </c>
      <c r="K8" s="22" t="n">
        <f aca="false">J8*(1-Premissas!$D$14)+K6-K7</f>
        <v>1119.34158076535</v>
      </c>
      <c r="L8" s="22" t="n">
        <f aca="false">K8*(1-Premissas!$D$14)+L6-L7</f>
        <v>1270.05694371018</v>
      </c>
      <c r="M8" s="22" t="n">
        <f aca="false">L8*(1-Premissas!$D$14)+M6-M7</f>
        <v>1427.32441240706</v>
      </c>
      <c r="N8" s="22" t="n">
        <f aca="false">M8*(1-Premissas!$D$14)+N6-N7</f>
        <v>1592.1636164117</v>
      </c>
      <c r="O8" s="22" t="n">
        <f aca="false">N8*(1-Premissas!$D$14)+O6-O7</f>
        <v>1765.63116414561</v>
      </c>
      <c r="P8" s="22" t="n">
        <f aca="false">O8*(1-Premissas!$D$14)+P6-P7</f>
        <v>1948.82761444035</v>
      </c>
      <c r="Q8" s="22" t="n">
        <f aca="false">P8*(1-Premissas!$D$14)+Q6-Q7</f>
        <v>2142.90464461399</v>
      </c>
      <c r="R8" s="22" t="n">
        <f aca="false">Q8*(1-Premissas!$D$14)+R6-R7</f>
        <v>2349.07246330987</v>
      </c>
      <c r="S8" s="22" t="n">
        <f aca="false">R8*(1-Premissas!$D$14)+S6-S7</f>
        <v>2568.60751726001</v>
      </c>
      <c r="T8" s="22" t="n">
        <f aca="false">S8*(1-Premissas!$D$14)+T6-T7</f>
        <v>2802.86054240648</v>
      </c>
      <c r="U8" s="22" t="n">
        <f aca="false">T8*(1-Premissas!$D$14)+U6-U7</f>
        <v>3053.26501142575</v>
      </c>
      <c r="V8" s="22" t="n">
        <f aca="false">U8*(1-Premissas!$D$14)+V6-V7</f>
        <v>3321.34603166016</v>
      </c>
      <c r="W8" s="22" t="n">
        <f aca="false">V8*(1-Premissas!$D$14)+W6-W7</f>
        <v>3608.72974977449</v>
      </c>
      <c r="X8" s="22" t="n">
        <f aca="false">W8*(1-Premissas!$D$14)+X6-X7</f>
        <v>3917.15332213563</v>
      </c>
      <c r="Y8" s="22" t="n">
        <f aca="false">X8*(1-Premissas!$D$14)+Y6-Y7</f>
        <v>4248.47551297154</v>
      </c>
      <c r="Z8" s="22" t="n">
        <f aca="false">Y8*(1-Premissas!$D$14)+Z6-Z7</f>
        <v>4604.68798581846</v>
      </c>
      <c r="AA8" s="22" t="n">
        <f aca="false">Z8*(1-Premissas!$D$14)+AA6-AA7</f>
        <v>4987.92735763031</v>
      </c>
      <c r="AB8" s="22" t="n">
        <f aca="false">AA8*(1-Premissas!$D$14)+AB6-AB7</f>
        <v>5400.48808922193</v>
      </c>
      <c r="AC8" s="22" t="n">
        <f aca="false">AB8*(1-Premissas!$D$14)+AC6-AC7</f>
        <v>5844.83629047258</v>
      </c>
      <c r="AD8" s="22" t="n">
        <f aca="false">AC8*(1-Premissas!$D$14)+AD6-AD7</f>
        <v>6323.62452395312</v>
      </c>
      <c r="AE8" s="22" t="n">
        <f aca="false">AD8*(1-Premissas!$D$14)+AE6-AE7</f>
        <v>6839.70769639025</v>
      </c>
      <c r="AF8" s="22" t="n">
        <f aca="false">AE8*(1-Premissas!$D$14)+AF6-AF7</f>
        <v>7396.16013367548</v>
      </c>
      <c r="AG8" s="22" t="n">
        <f aca="false">AF8*(1-Premissas!$D$14)+AG6-AG7</f>
        <v>7996.29394200186</v>
      </c>
      <c r="AH8" s="22" t="n">
        <f aca="false">AG8*(1-Premissas!$D$14)+AH6-AH7</f>
        <v>8643.67876520744</v>
      </c>
      <c r="AI8" s="22" t="n">
        <f aca="false">AH8*(1-Premissas!$D$14)+AI6-AI7</f>
        <v>9342.16305656338</v>
      </c>
      <c r="AJ8" s="22" t="n">
        <f aca="false">AI8*(1-Premissas!$D$14)+AJ6-AJ7</f>
        <v>10095.8969921153</v>
      </c>
      <c r="AK8" s="22" t="n">
        <f aca="false">AJ8*(1-Premissas!$D$14)+AK6-AK7</f>
        <v>10909.3571623189</v>
      </c>
      <c r="AL8" s="22" t="n">
        <f aca="false">AK8*(1-Premissas!$D$14)+AL6-AL7</f>
        <v>11787.3731891637</v>
      </c>
      <c r="AM8" s="22" t="n">
        <f aca="false">AL8*(1-Premissas!$D$14)+AM6-AM7</f>
        <v>12717.3547831606</v>
      </c>
      <c r="AN8" s="22" t="n">
        <f aca="false">AM8*(1-Premissas!$D$14)+AN6-AN7</f>
        <v>13546.9056481796</v>
      </c>
      <c r="AO8" s="22" t="n">
        <f aca="false">AN8*(1-Premissas!$D$14)+AO6-AO7</f>
        <v>14285.6841398435</v>
      </c>
      <c r="AP8" s="22" t="n">
        <f aca="false">AO8*(1-Premissas!$D$14)+AP6-AP7</f>
        <v>14957.9725672575</v>
      </c>
      <c r="AQ8" s="22" t="n">
        <f aca="false">AP8*(1-Premissas!$D$14)+AQ6-AQ7</f>
        <v>15569.7550362044</v>
      </c>
      <c r="AR8" s="22" t="n">
        <f aca="false">AQ8*(1-Premissas!$D$14)+AR6-AR7</f>
        <v>16126.477082946</v>
      </c>
      <c r="AS8" s="22" t="n">
        <f aca="false">AR8*(1-Premissas!$D$14)+AS6-AS7</f>
        <v>16633.0941454808</v>
      </c>
      <c r="AT8" s="22" t="n">
        <f aca="false">AS8*(1-Premissas!$D$14)+AT6-AT7</f>
        <v>17094.1156723876</v>
      </c>
      <c r="AU8" s="22" t="n">
        <f aca="false">AT8*(1-Premissas!$D$14)+AU6-AU7</f>
        <v>17513.6452618727</v>
      </c>
      <c r="AV8" s="22" t="n">
        <f aca="false">AU8*(1-Premissas!$D$14)+AV6-AV7</f>
        <v>17895.4171883041</v>
      </c>
      <c r="AW8" s="22" t="n">
        <f aca="false">AV8*(1-Premissas!$D$14)+AW6-AW7</f>
        <v>18242.8296413568</v>
      </c>
      <c r="AX8" s="22" t="n">
        <f aca="false">AW8*(1-Premissas!$D$14)+AX6-AX7</f>
        <v>18558.9749736347</v>
      </c>
      <c r="AY8" s="22" t="n">
        <f aca="false">AX8*(1-Premissas!$D$14)+AY6-AY7</f>
        <v>18846.6672260075</v>
      </c>
      <c r="AZ8" s="22" t="n">
        <f aca="false">AY8*(1-Premissas!$D$14)+AZ6-AZ7</f>
        <v>19108.4671756669</v>
      </c>
      <c r="BA8" s="22" t="n">
        <f aca="false">AZ8*(1-Premissas!$D$14)+BA6-BA7</f>
        <v>19346.7051298568</v>
      </c>
      <c r="BB8" s="22" t="n">
        <f aca="false">BA8*(1-Premissas!$D$14)+BB6-BB7</f>
        <v>19563.5016681697</v>
      </c>
      <c r="BC8" s="22" t="n">
        <f aca="false">BB8*(1-Premissas!$D$14)+BC6-BC7</f>
        <v>19760.7865180345</v>
      </c>
      <c r="BD8" s="22" t="n">
        <f aca="false">BC8*(1-Premissas!$D$14)+BD6-BD7</f>
        <v>19940.3157314114</v>
      </c>
      <c r="BE8" s="22" t="n">
        <f aca="false">BD8*(1-Premissas!$D$14)+BE6-BE7</f>
        <v>20103.6873155843</v>
      </c>
      <c r="BF8" s="22" t="n">
        <f aca="false">BE8*(1-Premissas!$D$14)+BF6-BF7</f>
        <v>20252.3554571817</v>
      </c>
      <c r="BG8" s="22" t="n">
        <f aca="false">BF8*(1-Premissas!$D$14)+BG6-BG7</f>
        <v>20387.6434660354</v>
      </c>
      <c r="BH8" s="22" t="n">
        <f aca="false">BG8*(1-Premissas!$D$14)+BH6-BH7</f>
        <v>20510.7555540922</v>
      </c>
      <c r="BI8" s="22" t="n">
        <f aca="false">BH8*(1-Premissas!$D$14)+BI6-BI7</f>
        <v>20622.7875542239</v>
      </c>
      <c r="BJ8" s="22" t="n">
        <f aca="false">BI8*(1-Premissas!$D$14)+BJ6-BJ7</f>
        <v>20724.7366743438</v>
      </c>
      <c r="BK8" s="22" t="n">
        <f aca="false">BJ8*(1-Premissas!$D$14)+BK6-BK7</f>
        <v>20817.5103736528</v>
      </c>
    </row>
    <row r="9" customFormat="false" ht="15" hidden="false" customHeight="false" outlineLevel="0" collapsed="false">
      <c r="A9" s="9" t="s">
        <v>147</v>
      </c>
      <c r="B9" s="19" t="s">
        <v>144</v>
      </c>
      <c r="C9" s="22" t="n">
        <v>0</v>
      </c>
      <c r="D9" s="22" t="n">
        <f aca="false">D7*Premissas!$D$13</f>
        <v>0</v>
      </c>
      <c r="E9" s="22" t="n">
        <f aca="false">E7*Premissas!$D$13</f>
        <v>0</v>
      </c>
      <c r="F9" s="22" t="n">
        <f aca="false">F7*Premissas!$D$13</f>
        <v>9.075</v>
      </c>
      <c r="G9" s="22" t="n">
        <f aca="false">G7*Premissas!$D$13</f>
        <v>9.801</v>
      </c>
      <c r="H9" s="22" t="n">
        <f aca="false">H7*Premissas!$D$13</f>
        <v>10.58508</v>
      </c>
      <c r="I9" s="22" t="n">
        <f aca="false">I7*Premissas!$D$13</f>
        <v>11.4318864</v>
      </c>
      <c r="J9" s="22" t="n">
        <f aca="false">J7*Premissas!$D$13</f>
        <v>12.346437312</v>
      </c>
      <c r="K9" s="22" t="n">
        <f aca="false">K7*Premissas!$D$13</f>
        <v>13.33415229696</v>
      </c>
      <c r="L9" s="22" t="n">
        <f aca="false">L7*Premissas!$D$13</f>
        <v>14.4008844807168</v>
      </c>
      <c r="M9" s="22" t="n">
        <f aca="false">M7*Premissas!$D$13</f>
        <v>15.5529552391741</v>
      </c>
      <c r="N9" s="22" t="n">
        <f aca="false">N7*Premissas!$D$13</f>
        <v>16.7971916583081</v>
      </c>
      <c r="O9" s="22" t="n">
        <f aca="false">O7*Premissas!$D$13</f>
        <v>18.1409669909727</v>
      </c>
      <c r="P9" s="22" t="n">
        <f aca="false">P7*Premissas!$D$13</f>
        <v>19.5922443502506</v>
      </c>
      <c r="Q9" s="22" t="n">
        <f aca="false">Q7*Premissas!$D$13</f>
        <v>21.1596238982706</v>
      </c>
      <c r="R9" s="22" t="n">
        <f aca="false">R7*Premissas!$D$13</f>
        <v>22.8523938101322</v>
      </c>
      <c r="S9" s="22" t="n">
        <f aca="false">S7*Premissas!$D$13</f>
        <v>24.6805853149428</v>
      </c>
      <c r="T9" s="22" t="n">
        <f aca="false">T7*Premissas!$D$13</f>
        <v>26.6550321401383</v>
      </c>
      <c r="U9" s="22" t="n">
        <f aca="false">U7*Premissas!$D$13</f>
        <v>28.7874347113493</v>
      </c>
      <c r="V9" s="22" t="n">
        <f aca="false">V7*Premissas!$D$13</f>
        <v>31.0904294882573</v>
      </c>
      <c r="W9" s="22" t="n">
        <f aca="false">W7*Premissas!$D$13</f>
        <v>33.5776638473178</v>
      </c>
      <c r="X9" s="22" t="n">
        <f aca="false">X7*Premissas!$D$13</f>
        <v>36.2638769551033</v>
      </c>
      <c r="Y9" s="22" t="n">
        <f aca="false">Y7*Premissas!$D$13</f>
        <v>39.1649871115115</v>
      </c>
      <c r="Z9" s="22" t="n">
        <f aca="false">Z7*Premissas!$D$13</f>
        <v>42.2981860804325</v>
      </c>
      <c r="AA9" s="22" t="n">
        <f aca="false">AA7*Premissas!$D$13</f>
        <v>45.6820409668671</v>
      </c>
      <c r="AB9" s="22" t="n">
        <f aca="false">AB7*Premissas!$D$13</f>
        <v>49.3366042442164</v>
      </c>
      <c r="AC9" s="22" t="n">
        <f aca="false">AC7*Premissas!$D$13</f>
        <v>53.2835325837538</v>
      </c>
      <c r="AD9" s="22" t="n">
        <f aca="false">AD7*Premissas!$D$13</f>
        <v>57.5462151904541</v>
      </c>
      <c r="AE9" s="22" t="n">
        <f aca="false">AE7*Premissas!$D$13</f>
        <v>62.1499124056904</v>
      </c>
      <c r="AF9" s="22" t="n">
        <f aca="false">AF7*Premissas!$D$13</f>
        <v>67.1219053981456</v>
      </c>
      <c r="AG9" s="22" t="n">
        <f aca="false">AG7*Premissas!$D$13</f>
        <v>72.4916578299973</v>
      </c>
      <c r="AH9" s="22" t="n">
        <f aca="false">AH7*Premissas!$D$13</f>
        <v>78.2909904563971</v>
      </c>
      <c r="AI9" s="22" t="n">
        <f aca="false">AI7*Premissas!$D$13</f>
        <v>84.5542696929089</v>
      </c>
      <c r="AJ9" s="22" t="n">
        <f aca="false">AJ7*Premissas!$D$13</f>
        <v>91.3186112683416</v>
      </c>
      <c r="AK9" s="22" t="n">
        <f aca="false">AK7*Premissas!$D$13</f>
        <v>98.6241001698089</v>
      </c>
      <c r="AL9" s="22" t="n">
        <f aca="false">AL7*Premissas!$D$13</f>
        <v>106.514028183394</v>
      </c>
      <c r="AM9" s="22" t="n">
        <f aca="false">AM7*Premissas!$D$13</f>
        <v>115.035150438065</v>
      </c>
      <c r="AN9" s="22" t="n">
        <f aca="false">AN7*Premissas!$D$13</f>
        <v>124.23796247311</v>
      </c>
      <c r="AO9" s="22" t="n">
        <f aca="false">AO7*Premissas!$D$13</f>
        <v>133.1</v>
      </c>
      <c r="AP9" s="22" t="n">
        <f aca="false">AP7*Premissas!$D$13</f>
        <v>133.1</v>
      </c>
      <c r="AQ9" s="22" t="n">
        <f aca="false">AQ7*Premissas!$D$13</f>
        <v>133.1</v>
      </c>
      <c r="AR9" s="22" t="n">
        <f aca="false">AR7*Premissas!$D$13</f>
        <v>133.1</v>
      </c>
      <c r="AS9" s="22" t="n">
        <f aca="false">AS7*Premissas!$D$13</f>
        <v>133.1</v>
      </c>
      <c r="AT9" s="22" t="n">
        <f aca="false">AT7*Premissas!$D$13</f>
        <v>133.1</v>
      </c>
      <c r="AU9" s="22" t="n">
        <f aca="false">AU7*Premissas!$D$13</f>
        <v>133.1</v>
      </c>
      <c r="AV9" s="22" t="n">
        <f aca="false">AV7*Premissas!$D$13</f>
        <v>133.1</v>
      </c>
      <c r="AW9" s="22" t="n">
        <f aca="false">AW7*Premissas!$D$13</f>
        <v>133.1</v>
      </c>
      <c r="AX9" s="22" t="n">
        <f aca="false">AX7*Premissas!$D$13</f>
        <v>133.1</v>
      </c>
      <c r="AY9" s="22" t="n">
        <f aca="false">AY7*Premissas!$D$13</f>
        <v>133.1</v>
      </c>
      <c r="AZ9" s="22" t="n">
        <f aca="false">AZ7*Premissas!$D$13</f>
        <v>133.1</v>
      </c>
      <c r="BA9" s="22" t="n">
        <f aca="false">BA7*Premissas!$D$13</f>
        <v>133.1</v>
      </c>
      <c r="BB9" s="22" t="n">
        <f aca="false">BB7*Premissas!$D$13</f>
        <v>133.1</v>
      </c>
      <c r="BC9" s="22" t="n">
        <f aca="false">BC7*Premissas!$D$13</f>
        <v>133.1</v>
      </c>
      <c r="BD9" s="22" t="n">
        <f aca="false">BD7*Premissas!$D$13</f>
        <v>133.1</v>
      </c>
      <c r="BE9" s="22" t="n">
        <f aca="false">BE7*Premissas!$D$13</f>
        <v>133.1</v>
      </c>
      <c r="BF9" s="22" t="n">
        <f aca="false">BF7*Premissas!$D$13</f>
        <v>133.1</v>
      </c>
      <c r="BG9" s="22" t="n">
        <f aca="false">BG7*Premissas!$D$13</f>
        <v>133.1</v>
      </c>
      <c r="BH9" s="22" t="n">
        <f aca="false">BH7*Premissas!$D$13</f>
        <v>133.1</v>
      </c>
      <c r="BI9" s="22" t="n">
        <f aca="false">BI7*Premissas!$D$13</f>
        <v>133.1</v>
      </c>
      <c r="BJ9" s="22" t="n">
        <f aca="false">BJ7*Premissas!$D$13</f>
        <v>133.1</v>
      </c>
      <c r="BK9" s="22" t="n">
        <f aca="false">BK7*Premissas!$D$13</f>
        <v>133.1</v>
      </c>
    </row>
    <row r="10" customFormat="false" ht="15" hidden="false" customHeight="false" outlineLevel="0" collapsed="false">
      <c r="A10" s="9" t="s">
        <v>148</v>
      </c>
      <c r="B10" s="19" t="s">
        <v>144</v>
      </c>
      <c r="C10" s="22" t="n">
        <v>0</v>
      </c>
      <c r="D10" s="22" t="n">
        <f aca="false">D7*(1-Premissas!$D$13)</f>
        <v>0</v>
      </c>
      <c r="E10" s="22" t="n">
        <f aca="false">E7*(1-Premissas!$D$13)</f>
        <v>0</v>
      </c>
      <c r="F10" s="22" t="n">
        <f aca="false">F7*(1-Premissas!$D$13)</f>
        <v>7.425</v>
      </c>
      <c r="G10" s="22" t="n">
        <f aca="false">G7*(1-Premissas!$D$13)</f>
        <v>8.019</v>
      </c>
      <c r="H10" s="22" t="n">
        <f aca="false">H7*(1-Premissas!$D$13)</f>
        <v>8.66052</v>
      </c>
      <c r="I10" s="22" t="n">
        <f aca="false">I7*(1-Premissas!$D$13)</f>
        <v>9.3533616</v>
      </c>
      <c r="J10" s="22" t="n">
        <f aca="false">J7*(1-Premissas!$D$13)</f>
        <v>10.101630528</v>
      </c>
      <c r="K10" s="22" t="n">
        <f aca="false">K7*(1-Premissas!$D$13)</f>
        <v>10.90976097024</v>
      </c>
      <c r="L10" s="22" t="n">
        <f aca="false">L7*(1-Premissas!$D$13)</f>
        <v>11.7825418478592</v>
      </c>
      <c r="M10" s="22" t="n">
        <f aca="false">M7*(1-Premissas!$D$13)</f>
        <v>12.7251451956879</v>
      </c>
      <c r="N10" s="22" t="n">
        <f aca="false">N7*(1-Premissas!$D$13)</f>
        <v>13.743156811343</v>
      </c>
      <c r="O10" s="22" t="n">
        <f aca="false">O7*(1-Premissas!$D$13)</f>
        <v>14.8426093562504</v>
      </c>
      <c r="P10" s="22" t="n">
        <f aca="false">P7*(1-Premissas!$D$13)</f>
        <v>16.0300181047504</v>
      </c>
      <c r="Q10" s="22" t="n">
        <f aca="false">Q7*(1-Premissas!$D$13)</f>
        <v>17.3124195531305</v>
      </c>
      <c r="R10" s="22" t="n">
        <f aca="false">R7*(1-Premissas!$D$13)</f>
        <v>18.6974131173809</v>
      </c>
      <c r="S10" s="22" t="n">
        <f aca="false">S7*(1-Premissas!$D$13)</f>
        <v>20.1932061667714</v>
      </c>
      <c r="T10" s="22" t="n">
        <f aca="false">T7*(1-Premissas!$D$13)</f>
        <v>21.8086626601131</v>
      </c>
      <c r="U10" s="22" t="n">
        <f aca="false">U7*(1-Premissas!$D$13)</f>
        <v>23.5533556729222</v>
      </c>
      <c r="V10" s="22" t="n">
        <f aca="false">V7*(1-Premissas!$D$13)</f>
        <v>25.4376241267559</v>
      </c>
      <c r="W10" s="22" t="n">
        <f aca="false">W7*(1-Premissas!$D$13)</f>
        <v>27.4726340568964</v>
      </c>
      <c r="X10" s="22" t="n">
        <f aca="false">X7*(1-Premissas!$D$13)</f>
        <v>29.6704447814481</v>
      </c>
      <c r="Y10" s="22" t="n">
        <f aca="false">Y7*(1-Premissas!$D$13)</f>
        <v>32.044080363964</v>
      </c>
      <c r="Z10" s="22" t="n">
        <f aca="false">Z7*(1-Premissas!$D$13)</f>
        <v>34.6076067930811</v>
      </c>
      <c r="AA10" s="22" t="n">
        <f aca="false">AA7*(1-Premissas!$D$13)</f>
        <v>37.3762153365276</v>
      </c>
      <c r="AB10" s="22" t="n">
        <f aca="false">AB7*(1-Premissas!$D$13)</f>
        <v>40.3663125634498</v>
      </c>
      <c r="AC10" s="22" t="n">
        <f aca="false">AC7*(1-Premissas!$D$13)</f>
        <v>43.5956175685258</v>
      </c>
      <c r="AD10" s="22" t="n">
        <f aca="false">AD7*(1-Premissas!$D$13)</f>
        <v>47.0832669740079</v>
      </c>
      <c r="AE10" s="22" t="n">
        <f aca="false">AE7*(1-Premissas!$D$13)</f>
        <v>50.8499283319285</v>
      </c>
      <c r="AF10" s="22" t="n">
        <f aca="false">AF7*(1-Premissas!$D$13)</f>
        <v>54.9179225984828</v>
      </c>
      <c r="AG10" s="22" t="n">
        <f aca="false">AG7*(1-Premissas!$D$13)</f>
        <v>59.3113564063614</v>
      </c>
      <c r="AH10" s="22" t="n">
        <f aca="false">AH7*(1-Premissas!$D$13)</f>
        <v>64.0562649188703</v>
      </c>
      <c r="AI10" s="22" t="n">
        <f aca="false">AI7*(1-Premissas!$D$13)</f>
        <v>69.1807661123799</v>
      </c>
      <c r="AJ10" s="22" t="n">
        <f aca="false">AJ7*(1-Premissas!$D$13)</f>
        <v>74.7152274013704</v>
      </c>
      <c r="AK10" s="22" t="n">
        <f aca="false">AK7*(1-Premissas!$D$13)</f>
        <v>80.69244559348</v>
      </c>
      <c r="AL10" s="22" t="n">
        <f aca="false">AL7*(1-Premissas!$D$13)</f>
        <v>87.1478412409584</v>
      </c>
      <c r="AM10" s="22" t="n">
        <f aca="false">AM7*(1-Premissas!$D$13)</f>
        <v>94.1196685402351</v>
      </c>
      <c r="AN10" s="22" t="n">
        <f aca="false">AN7*(1-Premissas!$D$13)</f>
        <v>101.649242023454</v>
      </c>
      <c r="AO10" s="22" t="n">
        <f aca="false">AO7*(1-Premissas!$D$13)</f>
        <v>108.9</v>
      </c>
      <c r="AP10" s="22" t="n">
        <f aca="false">AP7*(1-Premissas!$D$13)</f>
        <v>108.9</v>
      </c>
      <c r="AQ10" s="22" t="n">
        <f aca="false">AQ7*(1-Premissas!$D$13)</f>
        <v>108.9</v>
      </c>
      <c r="AR10" s="22" t="n">
        <f aca="false">AR7*(1-Premissas!$D$13)</f>
        <v>108.9</v>
      </c>
      <c r="AS10" s="22" t="n">
        <f aca="false">AS7*(1-Premissas!$D$13)</f>
        <v>108.9</v>
      </c>
      <c r="AT10" s="22" t="n">
        <f aca="false">AT7*(1-Premissas!$D$13)</f>
        <v>108.9</v>
      </c>
      <c r="AU10" s="22" t="n">
        <f aca="false">AU7*(1-Premissas!$D$13)</f>
        <v>108.9</v>
      </c>
      <c r="AV10" s="22" t="n">
        <f aca="false">AV7*(1-Premissas!$D$13)</f>
        <v>108.9</v>
      </c>
      <c r="AW10" s="22" t="n">
        <f aca="false">AW7*(1-Premissas!$D$13)</f>
        <v>108.9</v>
      </c>
      <c r="AX10" s="22" t="n">
        <f aca="false">AX7*(1-Premissas!$D$13)</f>
        <v>108.9</v>
      </c>
      <c r="AY10" s="22" t="n">
        <f aca="false">AY7*(1-Premissas!$D$13)</f>
        <v>108.9</v>
      </c>
      <c r="AZ10" s="22" t="n">
        <f aca="false">AZ7*(1-Premissas!$D$13)</f>
        <v>108.9</v>
      </c>
      <c r="BA10" s="22" t="n">
        <f aca="false">BA7*(1-Premissas!$D$13)</f>
        <v>108.9</v>
      </c>
      <c r="BB10" s="22" t="n">
        <f aca="false">BB7*(1-Premissas!$D$13)</f>
        <v>108.9</v>
      </c>
      <c r="BC10" s="22" t="n">
        <f aca="false">BC7*(1-Premissas!$D$13)</f>
        <v>108.9</v>
      </c>
      <c r="BD10" s="22" t="n">
        <f aca="false">BD7*(1-Premissas!$D$13)</f>
        <v>108.9</v>
      </c>
      <c r="BE10" s="22" t="n">
        <f aca="false">BE7*(1-Premissas!$D$13)</f>
        <v>108.9</v>
      </c>
      <c r="BF10" s="22" t="n">
        <f aca="false">BF7*(1-Premissas!$D$13)</f>
        <v>108.9</v>
      </c>
      <c r="BG10" s="22" t="n">
        <f aca="false">BG7*(1-Premissas!$D$13)</f>
        <v>108.9</v>
      </c>
      <c r="BH10" s="22" t="n">
        <f aca="false">BH7*(1-Premissas!$D$13)</f>
        <v>108.9</v>
      </c>
      <c r="BI10" s="22" t="n">
        <f aca="false">BI7*(1-Premissas!$D$13)</f>
        <v>108.9</v>
      </c>
      <c r="BJ10" s="22" t="n">
        <f aca="false">BJ7*(1-Premissas!$D$13)</f>
        <v>108.9</v>
      </c>
      <c r="BK10" s="22" t="n">
        <f aca="false">BK7*(1-Premissas!$D$13)</f>
        <v>108.9</v>
      </c>
    </row>
    <row r="11" customFormat="false" ht="15" hidden="false" customHeight="false" outlineLevel="0" collapsed="false">
      <c r="A11" s="9" t="s">
        <v>149</v>
      </c>
      <c r="B11" s="19" t="s">
        <v>144</v>
      </c>
      <c r="C11" s="22" t="n">
        <v>0</v>
      </c>
      <c r="D11" s="22" t="n">
        <f aca="false">C11*(1-Premissas!$D$15)+D9</f>
        <v>0</v>
      </c>
      <c r="E11" s="22" t="n">
        <f aca="false">D11*(1-Premissas!$D$15)+E9</f>
        <v>0</v>
      </c>
      <c r="F11" s="22" t="n">
        <f aca="false">E11*(1-Premissas!$D$15)+F9</f>
        <v>9.075</v>
      </c>
      <c r="G11" s="22" t="n">
        <f aca="false">F11*(1-Premissas!$D$15)+G9</f>
        <v>18.513</v>
      </c>
      <c r="H11" s="22" t="n">
        <f aca="false">G11*(1-Premissas!$D$15)+H9</f>
        <v>28.35756</v>
      </c>
      <c r="I11" s="22" t="n">
        <f aca="false">H11*(1-Premissas!$D$15)+I9</f>
        <v>38.655144</v>
      </c>
      <c r="J11" s="22" t="n">
        <f aca="false">I11*(1-Premissas!$D$15)+J9</f>
        <v>49.455375552</v>
      </c>
      <c r="K11" s="22" t="n">
        <f aca="false">J11*(1-Premissas!$D$15)+K9</f>
        <v>60.81131282688</v>
      </c>
      <c r="L11" s="22" t="n">
        <f aca="false">K11*(1-Premissas!$D$15)+L9</f>
        <v>72.7797447945216</v>
      </c>
      <c r="M11" s="22" t="n">
        <f aca="false">L11*(1-Premissas!$D$15)+M9</f>
        <v>85.4215102419149</v>
      </c>
      <c r="N11" s="22" t="n">
        <f aca="false">M11*(1-Premissas!$D$15)+N9</f>
        <v>98.8018414905464</v>
      </c>
      <c r="O11" s="22" t="n">
        <f aca="false">N11*(1-Premissas!$D$15)+O9</f>
        <v>112.990734821897</v>
      </c>
      <c r="P11" s="22" t="n">
        <f aca="false">O11*(1-Premissas!$D$15)+P9</f>
        <v>128.063349779272</v>
      </c>
      <c r="Q11" s="22" t="n">
        <f aca="false">P11*(1-Premissas!$D$15)+Q9</f>
        <v>144.100439686372</v>
      </c>
      <c r="R11" s="22" t="n">
        <f aca="false">Q11*(1-Premissas!$D$15)+R9</f>
        <v>161.188815909049</v>
      </c>
      <c r="S11" s="22" t="n">
        <f aca="false">R11*(1-Premissas!$D$15)+S9</f>
        <v>179.42184858763</v>
      </c>
      <c r="T11" s="22" t="n">
        <f aca="false">S11*(1-Premissas!$D$15)+T9</f>
        <v>198.900006784263</v>
      </c>
      <c r="U11" s="22" t="n">
        <f aca="false">T11*(1-Premissas!$D$15)+U9</f>
        <v>219.731441224242</v>
      </c>
      <c r="V11" s="22" t="n">
        <f aca="false">U11*(1-Premissas!$D$15)+V9</f>
        <v>242.032613063529</v>
      </c>
      <c r="W11" s="22" t="n">
        <f aca="false">V11*(1-Premissas!$D$15)+W9</f>
        <v>265.928972388306</v>
      </c>
      <c r="X11" s="22" t="n">
        <f aca="false">W11*(1-Premissas!$D$15)+X9</f>
        <v>291.555690447877</v>
      </c>
      <c r="Y11" s="22" t="n">
        <f aca="false">X11*(1-Premissas!$D$15)+Y9</f>
        <v>319.058449941473</v>
      </c>
      <c r="Z11" s="22" t="n">
        <f aca="false">Y11*(1-Premissas!$D$15)+Z9</f>
        <v>348.594298024247</v>
      </c>
      <c r="AA11" s="22" t="n">
        <f aca="false">Z11*(1-Premissas!$D$15)+AA9</f>
        <v>380.332567070144</v>
      </c>
      <c r="AB11" s="22" t="n">
        <f aca="false">AA11*(1-Premissas!$D$15)+AB9</f>
        <v>414.455868631555</v>
      </c>
      <c r="AC11" s="22" t="n">
        <f aca="false">AB11*(1-Premissas!$D$15)+AC9</f>
        <v>451.161166470046</v>
      </c>
      <c r="AD11" s="22" t="n">
        <f aca="false">AC11*(1-Premissas!$D$15)+AD9</f>
        <v>490.660935001699</v>
      </c>
      <c r="AE11" s="22" t="n">
        <f aca="false">AD11*(1-Premissas!$D$15)+AE9</f>
        <v>533.184410007321</v>
      </c>
      <c r="AF11" s="22" t="n">
        <f aca="false">AE11*(1-Premissas!$D$15)+AF9</f>
        <v>578.978939005174</v>
      </c>
      <c r="AG11" s="22" t="n">
        <f aca="false">AF11*(1-Premissas!$D$15)+AG9</f>
        <v>628.311439274964</v>
      </c>
      <c r="AH11" s="22" t="n">
        <f aca="false">AG11*(1-Premissas!$D$15)+AH9</f>
        <v>681.469972160363</v>
      </c>
      <c r="AI11" s="22" t="n">
        <f aca="false">AH11*(1-Premissas!$D$15)+AI9</f>
        <v>738.765442966857</v>
      </c>
      <c r="AJ11" s="22" t="n">
        <f aca="false">AI11*(1-Premissas!$D$15)+AJ9</f>
        <v>800.533436516524</v>
      </c>
      <c r="AK11" s="22" t="n">
        <f aca="false">AJ11*(1-Premissas!$D$15)+AK9</f>
        <v>867.136199225672</v>
      </c>
      <c r="AL11" s="22" t="n">
        <f aca="false">AK11*(1-Premissas!$D$15)+AL9</f>
        <v>938.964779440039</v>
      </c>
      <c r="AM11" s="22" t="n">
        <f aca="false">AL11*(1-Premissas!$D$15)+AM9</f>
        <v>1016.4413387005</v>
      </c>
      <c r="AN11" s="22" t="n">
        <f aca="false">AM11*(1-Premissas!$D$15)+AN9</f>
        <v>1100.02164762559</v>
      </c>
      <c r="AO11" s="22" t="n">
        <f aca="false">AN11*(1-Premissas!$D$15)+AO9</f>
        <v>1189.12078172057</v>
      </c>
      <c r="AP11" s="22" t="n">
        <f aca="false">AO11*(1-Premissas!$D$15)+AP9</f>
        <v>1274.65595045175</v>
      </c>
      <c r="AQ11" s="22" t="n">
        <f aca="false">AP11*(1-Premissas!$D$15)+AQ9</f>
        <v>1356.76971243368</v>
      </c>
      <c r="AR11" s="22" t="n">
        <f aca="false">AQ11*(1-Premissas!$D$15)+AR9</f>
        <v>1435.59892393633</v>
      </c>
      <c r="AS11" s="22" t="n">
        <f aca="false">AR11*(1-Premissas!$D$15)+AS9</f>
        <v>1511.27496697888</v>
      </c>
      <c r="AT11" s="22" t="n">
        <f aca="false">AS11*(1-Premissas!$D$15)+AT9</f>
        <v>1583.92396829972</v>
      </c>
      <c r="AU11" s="22" t="n">
        <f aca="false">AT11*(1-Premissas!$D$15)+AU9</f>
        <v>1653.66700956773</v>
      </c>
      <c r="AV11" s="22" t="n">
        <f aca="false">AU11*(1-Premissas!$D$15)+AV9</f>
        <v>1720.62032918502</v>
      </c>
      <c r="AW11" s="22" t="n">
        <f aca="false">AV11*(1-Premissas!$D$15)+AW9</f>
        <v>1784.89551601762</v>
      </c>
      <c r="AX11" s="22" t="n">
        <f aca="false">AW11*(1-Premissas!$D$15)+AX9</f>
        <v>1846.59969537692</v>
      </c>
      <c r="AY11" s="22" t="n">
        <f aca="false">AX11*(1-Premissas!$D$15)+AY9</f>
        <v>1905.83570756184</v>
      </c>
      <c r="AZ11" s="22" t="n">
        <f aca="false">AY11*(1-Premissas!$D$15)+AZ9</f>
        <v>1962.70227925937</v>
      </c>
      <c r="BA11" s="22" t="n">
        <f aca="false">AZ11*(1-Premissas!$D$15)+BA9</f>
        <v>2017.29418808899</v>
      </c>
      <c r="BB11" s="22" t="n">
        <f aca="false">BA11*(1-Premissas!$D$15)+BB9</f>
        <v>2069.70242056543</v>
      </c>
      <c r="BC11" s="22" t="n">
        <f aca="false">BB11*(1-Premissas!$D$15)+BC9</f>
        <v>2120.01432374282</v>
      </c>
      <c r="BD11" s="22" t="n">
        <f aca="false">BC11*(1-Premissas!$D$15)+BD9</f>
        <v>2168.3137507931</v>
      </c>
      <c r="BE11" s="22" t="n">
        <f aca="false">BD11*(1-Premissas!$D$15)+BE9</f>
        <v>2214.68120076138</v>
      </c>
      <c r="BF11" s="22" t="n">
        <f aca="false">BE11*(1-Premissas!$D$15)+BF9</f>
        <v>2259.19395273092</v>
      </c>
      <c r="BG11" s="22" t="n">
        <f aca="false">BF11*(1-Premissas!$D$15)+BG9</f>
        <v>2301.92619462169</v>
      </c>
      <c r="BH11" s="22" t="n">
        <f aca="false">BG11*(1-Premissas!$D$15)+BH9</f>
        <v>2342.94914683682</v>
      </c>
      <c r="BI11" s="22" t="n">
        <f aca="false">BH11*(1-Premissas!$D$15)+BI9</f>
        <v>2382.33118096335</v>
      </c>
      <c r="BJ11" s="22" t="n">
        <f aca="false">BI11*(1-Premissas!$D$15)+BJ9</f>
        <v>2420.13793372481</v>
      </c>
      <c r="BK11" s="22" t="n">
        <f aca="false">BJ11*(1-Premissas!$D$15)+BK9</f>
        <v>2456.43241637582</v>
      </c>
    </row>
    <row r="12" customFormat="false" ht="15" hidden="false" customHeight="false" outlineLevel="0" collapsed="false">
      <c r="A12" s="9" t="s">
        <v>150</v>
      </c>
      <c r="B12" s="19" t="s">
        <v>144</v>
      </c>
      <c r="C12" s="22" t="n">
        <v>0</v>
      </c>
      <c r="D12" s="22" t="n">
        <f aca="false">C12*(1-Premissas!$D$15)+D10</f>
        <v>0</v>
      </c>
      <c r="E12" s="22" t="n">
        <f aca="false">D12*(1-Premissas!$D$15)+E10</f>
        <v>0</v>
      </c>
      <c r="F12" s="22" t="n">
        <f aca="false">E12*(1-Premissas!$D$15)+F10</f>
        <v>7.425</v>
      </c>
      <c r="G12" s="22" t="n">
        <f aca="false">F12*(1-Premissas!$D$15)+G10</f>
        <v>15.147</v>
      </c>
      <c r="H12" s="22" t="n">
        <f aca="false">G12*(1-Premissas!$D$15)+H10</f>
        <v>23.20164</v>
      </c>
      <c r="I12" s="22" t="n">
        <f aca="false">H12*(1-Premissas!$D$15)+I10</f>
        <v>31.626936</v>
      </c>
      <c r="J12" s="22" t="n">
        <f aca="false">I12*(1-Premissas!$D$15)+J10</f>
        <v>40.463489088</v>
      </c>
      <c r="K12" s="22" t="n">
        <f aca="false">J12*(1-Premissas!$D$15)+K10</f>
        <v>49.75471049472</v>
      </c>
      <c r="L12" s="22" t="n">
        <f aca="false">K12*(1-Premissas!$D$15)+L10</f>
        <v>59.5470639227904</v>
      </c>
      <c r="M12" s="22" t="n">
        <f aca="false">L12*(1-Premissas!$D$15)+M10</f>
        <v>69.8903265615667</v>
      </c>
      <c r="N12" s="22" t="n">
        <f aca="false">M12*(1-Premissas!$D$15)+N10</f>
        <v>80.837870310447</v>
      </c>
      <c r="O12" s="22" t="n">
        <f aca="false">N12*(1-Premissas!$D$15)+O10</f>
        <v>92.4469648542795</v>
      </c>
      <c r="P12" s="22" t="n">
        <f aca="false">O12*(1-Premissas!$D$15)+P10</f>
        <v>104.779104364859</v>
      </c>
      <c r="Q12" s="22" t="n">
        <f aca="false">P12*(1-Premissas!$D$15)+Q10</f>
        <v>117.900359743395</v>
      </c>
      <c r="R12" s="22" t="n">
        <f aca="false">Q12*(1-Premissas!$D$15)+R10</f>
        <v>131.88175847104</v>
      </c>
      <c r="S12" s="22" t="n">
        <f aca="false">R12*(1-Premissas!$D$15)+S10</f>
        <v>146.79969429897</v>
      </c>
      <c r="T12" s="22" t="n">
        <f aca="false">S12*(1-Premissas!$D$15)+T10</f>
        <v>162.736369187124</v>
      </c>
      <c r="U12" s="22" t="n">
        <f aca="false">T12*(1-Premissas!$D$15)+U10</f>
        <v>179.780270092561</v>
      </c>
      <c r="V12" s="22" t="n">
        <f aca="false">U12*(1-Premissas!$D$15)+V10</f>
        <v>198.026683415615</v>
      </c>
      <c r="W12" s="22" t="n">
        <f aca="false">V12*(1-Premissas!$D$15)+W10</f>
        <v>217.578250135887</v>
      </c>
      <c r="X12" s="22" t="n">
        <f aca="false">W12*(1-Premissas!$D$15)+X10</f>
        <v>238.545564911899</v>
      </c>
      <c r="Y12" s="22" t="n">
        <f aca="false">X12*(1-Premissas!$D$15)+Y10</f>
        <v>261.047822679387</v>
      </c>
      <c r="Z12" s="22" t="n">
        <f aca="false">Y12*(1-Premissas!$D$15)+Z10</f>
        <v>285.213516565293</v>
      </c>
      <c r="AA12" s="22" t="n">
        <f aca="false">Z12*(1-Premissas!$D$15)+AA10</f>
        <v>311.181191239209</v>
      </c>
      <c r="AB12" s="22" t="n">
        <f aca="false">AA12*(1-Premissas!$D$15)+AB10</f>
        <v>339.10025615309</v>
      </c>
      <c r="AC12" s="22" t="n">
        <f aca="false">AB12*(1-Premissas!$D$15)+AC10</f>
        <v>369.131863475492</v>
      </c>
      <c r="AD12" s="22" t="n">
        <f aca="false">AC12*(1-Premissas!$D$15)+AD10</f>
        <v>401.449855910481</v>
      </c>
      <c r="AE12" s="22" t="n">
        <f aca="false">AD12*(1-Premissas!$D$15)+AE10</f>
        <v>436.24179000599</v>
      </c>
      <c r="AF12" s="22" t="n">
        <f aca="false">AE12*(1-Premissas!$D$15)+AF10</f>
        <v>473.710041004233</v>
      </c>
      <c r="AG12" s="22" t="n">
        <f aca="false">AF12*(1-Premissas!$D$15)+AG10</f>
        <v>514.072995770425</v>
      </c>
      <c r="AH12" s="22" t="n">
        <f aca="false">AG12*(1-Premissas!$D$15)+AH10</f>
        <v>557.566340858478</v>
      </c>
      <c r="AI12" s="22" t="n">
        <f aca="false">AH12*(1-Premissas!$D$15)+AI10</f>
        <v>604.444453336519</v>
      </c>
      <c r="AJ12" s="22" t="n">
        <f aca="false">AI12*(1-Premissas!$D$15)+AJ10</f>
        <v>654.981902604429</v>
      </c>
      <c r="AK12" s="22" t="n">
        <f aca="false">AJ12*(1-Premissas!$D$15)+AK10</f>
        <v>709.475072093732</v>
      </c>
      <c r="AL12" s="22" t="n">
        <f aca="false">AK12*(1-Premissas!$D$15)+AL10</f>
        <v>768.243910450941</v>
      </c>
      <c r="AM12" s="22" t="n">
        <f aca="false">AL12*(1-Premissas!$D$15)+AM10</f>
        <v>831.633822573138</v>
      </c>
      <c r="AN12" s="22" t="n">
        <f aca="false">AM12*(1-Premissas!$D$15)+AN10</f>
        <v>900.017711693667</v>
      </c>
      <c r="AO12" s="22" t="n">
        <f aca="false">AN12*(1-Premissas!$D$15)+AO10</f>
        <v>972.91700322592</v>
      </c>
      <c r="AP12" s="22" t="n">
        <f aca="false">AO12*(1-Premissas!$D$15)+AP10</f>
        <v>1042.90032309688</v>
      </c>
      <c r="AQ12" s="22" t="n">
        <f aca="false">AP12*(1-Premissas!$D$15)+AQ10</f>
        <v>1110.08431017301</v>
      </c>
      <c r="AR12" s="22" t="n">
        <f aca="false">AQ12*(1-Premissas!$D$15)+AR10</f>
        <v>1174.58093776609</v>
      </c>
      <c r="AS12" s="22" t="n">
        <f aca="false">AR12*(1-Premissas!$D$15)+AS10</f>
        <v>1236.49770025544</v>
      </c>
      <c r="AT12" s="22" t="n">
        <f aca="false">AS12*(1-Premissas!$D$15)+AT10</f>
        <v>1295.93779224523</v>
      </c>
      <c r="AU12" s="22" t="n">
        <f aca="false">AT12*(1-Premissas!$D$15)+AU10</f>
        <v>1353.00028055542</v>
      </c>
      <c r="AV12" s="22" t="n">
        <f aca="false">AU12*(1-Premissas!$D$15)+AV10</f>
        <v>1407.7802693332</v>
      </c>
      <c r="AW12" s="22" t="n">
        <f aca="false">AV12*(1-Premissas!$D$15)+AW10</f>
        <v>1460.36905855987</v>
      </c>
      <c r="AX12" s="22" t="n">
        <f aca="false">AW12*(1-Premissas!$D$15)+AX10</f>
        <v>1510.85429621748</v>
      </c>
      <c r="AY12" s="22" t="n">
        <f aca="false">AX12*(1-Premissas!$D$15)+AY10</f>
        <v>1559.32012436878</v>
      </c>
      <c r="AZ12" s="22" t="n">
        <f aca="false">AY12*(1-Premissas!$D$15)+AZ10</f>
        <v>1605.84731939403</v>
      </c>
      <c r="BA12" s="22" t="n">
        <f aca="false">AZ12*(1-Premissas!$D$15)+BA10</f>
        <v>1650.51342661827</v>
      </c>
      <c r="BB12" s="22" t="n">
        <f aca="false">BA12*(1-Premissas!$D$15)+BB10</f>
        <v>1693.39288955354</v>
      </c>
      <c r="BC12" s="22" t="n">
        <f aca="false">BB12*(1-Premissas!$D$15)+BC10</f>
        <v>1734.55717397139</v>
      </c>
      <c r="BD12" s="22" t="n">
        <f aca="false">BC12*(1-Premissas!$D$15)+BD10</f>
        <v>1774.07488701254</v>
      </c>
      <c r="BE12" s="22" t="n">
        <f aca="false">BD12*(1-Premissas!$D$15)+BE10</f>
        <v>1812.01189153204</v>
      </c>
      <c r="BF12" s="22" t="n">
        <f aca="false">BE12*(1-Premissas!$D$15)+BF10</f>
        <v>1848.43141587076</v>
      </c>
      <c r="BG12" s="22" t="n">
        <f aca="false">BF12*(1-Premissas!$D$15)+BG10</f>
        <v>1883.39415923593</v>
      </c>
      <c r="BH12" s="22" t="n">
        <f aca="false">BG12*(1-Premissas!$D$15)+BH10</f>
        <v>1916.95839286649</v>
      </c>
      <c r="BI12" s="22" t="n">
        <f aca="false">BH12*(1-Premissas!$D$15)+BI10</f>
        <v>1949.18005715183</v>
      </c>
      <c r="BJ12" s="22" t="n">
        <f aca="false">BI12*(1-Premissas!$D$15)+BJ10</f>
        <v>1980.11285486576</v>
      </c>
      <c r="BK12" s="22" t="n">
        <f aca="false">BJ12*(1-Premissas!$D$15)+BK10</f>
        <v>2009.80834067113</v>
      </c>
    </row>
    <row r="13" customFormat="false" ht="15" hidden="false" customHeight="false" outlineLevel="0" collapsed="false">
      <c r="A13" s="13" t="s">
        <v>151</v>
      </c>
      <c r="B13" s="19" t="s">
        <v>144</v>
      </c>
      <c r="C13" s="23" t="n">
        <v>0</v>
      </c>
      <c r="D13" s="23" t="n">
        <f aca="false">D11+D12</f>
        <v>0</v>
      </c>
      <c r="E13" s="23" t="n">
        <f aca="false">E11+E12</f>
        <v>0</v>
      </c>
      <c r="F13" s="23" t="n">
        <f aca="false">F11+F12</f>
        <v>16.5</v>
      </c>
      <c r="G13" s="23" t="n">
        <f aca="false">G11+G12</f>
        <v>33.66</v>
      </c>
      <c r="H13" s="23" t="n">
        <f aca="false">H11+H12</f>
        <v>51.5592</v>
      </c>
      <c r="I13" s="23" t="n">
        <f aca="false">I11+I12</f>
        <v>70.28208</v>
      </c>
      <c r="J13" s="23" t="n">
        <f aca="false">J11+J12</f>
        <v>89.91886464</v>
      </c>
      <c r="K13" s="23" t="n">
        <f aca="false">K11+K12</f>
        <v>110.5660233216</v>
      </c>
      <c r="L13" s="23" t="n">
        <f aca="false">L11+L12</f>
        <v>132.326808717312</v>
      </c>
      <c r="M13" s="23" t="n">
        <f aca="false">M11+M12</f>
        <v>155.311836803482</v>
      </c>
      <c r="N13" s="23" t="n">
        <f aca="false">N11+N12</f>
        <v>179.639711800993</v>
      </c>
      <c r="O13" s="23" t="n">
        <f aca="false">O11+O12</f>
        <v>205.437699676177</v>
      </c>
      <c r="P13" s="23" t="n">
        <f aca="false">P11+P12</f>
        <v>232.842454144131</v>
      </c>
      <c r="Q13" s="23" t="n">
        <f aca="false">Q11+Q12</f>
        <v>262.000799429767</v>
      </c>
      <c r="R13" s="23" t="n">
        <f aca="false">R11+R12</f>
        <v>293.070574380089</v>
      </c>
      <c r="S13" s="23" t="n">
        <f aca="false">S11+S12</f>
        <v>326.2215428866</v>
      </c>
      <c r="T13" s="23" t="n">
        <f aca="false">T11+T12</f>
        <v>361.636375971387</v>
      </c>
      <c r="U13" s="23" t="n">
        <f aca="false">U11+U12</f>
        <v>399.511711316803</v>
      </c>
      <c r="V13" s="23" t="n">
        <f aca="false">V11+V12</f>
        <v>440.059296479144</v>
      </c>
      <c r="W13" s="23" t="n">
        <f aca="false">W11+W12</f>
        <v>483.507222524193</v>
      </c>
      <c r="X13" s="23" t="n">
        <f aca="false">X11+X12</f>
        <v>530.101255359776</v>
      </c>
      <c r="Y13" s="23" t="n">
        <f aca="false">Y11+Y12</f>
        <v>580.106272620861</v>
      </c>
      <c r="Z13" s="23" t="n">
        <f aca="false">Z11+Z12</f>
        <v>633.80781458954</v>
      </c>
      <c r="AA13" s="23" t="n">
        <f aca="false">AA11+AA12</f>
        <v>691.513758309353</v>
      </c>
      <c r="AB13" s="23" t="n">
        <f aca="false">AB11+AB12</f>
        <v>753.556124784645</v>
      </c>
      <c r="AC13" s="23" t="n">
        <f aca="false">AC11+AC12</f>
        <v>820.293029945539</v>
      </c>
      <c r="AD13" s="23" t="n">
        <f aca="false">AD11+AD12</f>
        <v>892.110790912179</v>
      </c>
      <c r="AE13" s="23" t="n">
        <f aca="false">AE11+AE12</f>
        <v>969.426200013311</v>
      </c>
      <c r="AF13" s="23" t="n">
        <f aca="false">AF11+AF12</f>
        <v>1052.68898000941</v>
      </c>
      <c r="AG13" s="23" t="n">
        <f aca="false">AG11+AG12</f>
        <v>1142.38443504539</v>
      </c>
      <c r="AH13" s="23" t="n">
        <f aca="false">AH11+AH12</f>
        <v>1239.03631301884</v>
      </c>
      <c r="AI13" s="23" t="n">
        <f aca="false">AI11+AI12</f>
        <v>1343.20989630338</v>
      </c>
      <c r="AJ13" s="23" t="n">
        <f aca="false">AJ11+AJ12</f>
        <v>1455.51533912095</v>
      </c>
      <c r="AK13" s="23" t="n">
        <f aca="false">AK11+AK12</f>
        <v>1576.6112713194</v>
      </c>
      <c r="AL13" s="23" t="n">
        <f aca="false">AL11+AL12</f>
        <v>1707.20868989098</v>
      </c>
      <c r="AM13" s="23" t="n">
        <f aca="false">AM11+AM12</f>
        <v>1848.07516127364</v>
      </c>
      <c r="AN13" s="23" t="n">
        <f aca="false">AN11+AN12</f>
        <v>2000.03935931926</v>
      </c>
      <c r="AO13" s="23" t="n">
        <f aca="false">AO11+AO12</f>
        <v>2162.03778494649</v>
      </c>
      <c r="AP13" s="23" t="n">
        <f aca="false">AP11+AP12</f>
        <v>2317.55627354863</v>
      </c>
      <c r="AQ13" s="23" t="n">
        <f aca="false">AQ11+AQ12</f>
        <v>2466.85402260668</v>
      </c>
      <c r="AR13" s="23" t="n">
        <f aca="false">AR11+AR12</f>
        <v>2610.17986170242</v>
      </c>
      <c r="AS13" s="23" t="n">
        <f aca="false">AS11+AS12</f>
        <v>2747.77266723432</v>
      </c>
      <c r="AT13" s="23" t="n">
        <f aca="false">AT11+AT12</f>
        <v>2879.86176054495</v>
      </c>
      <c r="AU13" s="23" t="n">
        <f aca="false">AU11+AU12</f>
        <v>3006.66729012315</v>
      </c>
      <c r="AV13" s="23" t="n">
        <f aca="false">AV11+AV12</f>
        <v>3128.40059851822</v>
      </c>
      <c r="AW13" s="23" t="n">
        <f aca="false">AW11+AW12</f>
        <v>3245.26457457749</v>
      </c>
      <c r="AX13" s="23" t="n">
        <f aca="false">AX11+AX12</f>
        <v>3357.45399159439</v>
      </c>
      <c r="AY13" s="23" t="n">
        <f aca="false">AY11+AY12</f>
        <v>3465.15583193062</v>
      </c>
      <c r="AZ13" s="23" t="n">
        <f aca="false">AZ11+AZ12</f>
        <v>3568.54959865339</v>
      </c>
      <c r="BA13" s="23" t="n">
        <f aca="false">BA11+BA12</f>
        <v>3667.80761470726</v>
      </c>
      <c r="BB13" s="23" t="n">
        <f aca="false">BB11+BB12</f>
        <v>3763.09531011897</v>
      </c>
      <c r="BC13" s="23" t="n">
        <f aca="false">BC11+BC12</f>
        <v>3854.57149771421</v>
      </c>
      <c r="BD13" s="23" t="n">
        <f aca="false">BD11+BD12</f>
        <v>3942.38863780564</v>
      </c>
      <c r="BE13" s="23" t="n">
        <f aca="false">BE11+BE12</f>
        <v>4026.69309229342</v>
      </c>
      <c r="BF13" s="23" t="n">
        <f aca="false">BF11+BF12</f>
        <v>4107.62536860168</v>
      </c>
      <c r="BG13" s="23" t="n">
        <f aca="false">BG11+BG12</f>
        <v>4185.32035385761</v>
      </c>
      <c r="BH13" s="23" t="n">
        <f aca="false">BH11+BH12</f>
        <v>4259.90753970331</v>
      </c>
      <c r="BI13" s="23" t="n">
        <f aca="false">BI11+BI12</f>
        <v>4331.51123811518</v>
      </c>
      <c r="BJ13" s="23" t="n">
        <f aca="false">BJ11+BJ12</f>
        <v>4400.25078859057</v>
      </c>
      <c r="BK13" s="23" t="n">
        <f aca="false">BK11+BK12</f>
        <v>4466.24075704695</v>
      </c>
    </row>
    <row r="14" customFormat="false" ht="15" hidden="false" customHeight="false" outlineLevel="0" collapsed="false">
      <c r="A14" s="13" t="s">
        <v>152</v>
      </c>
      <c r="B14" s="19" t="s">
        <v>144</v>
      </c>
      <c r="C14" s="23" t="n">
        <v>0</v>
      </c>
      <c r="D14" s="23" t="n">
        <f aca="false">D8+D13</f>
        <v>150</v>
      </c>
      <c r="E14" s="23" t="n">
        <f aca="false">E8+E13</f>
        <v>298.5</v>
      </c>
      <c r="F14" s="23" t="n">
        <f aca="false">F8+F13</f>
        <v>446.595</v>
      </c>
      <c r="G14" s="23" t="n">
        <f aca="false">G8+G13</f>
        <v>596.18325</v>
      </c>
      <c r="H14" s="23" t="n">
        <f aca="false">H8+H13</f>
        <v>748.2831015</v>
      </c>
      <c r="I14" s="23" t="n">
        <f aca="false">I8+I13</f>
        <v>903.914793885</v>
      </c>
      <c r="J14" s="23" t="n">
        <f aca="false">J8+J13</f>
        <v>1064.10771487695</v>
      </c>
      <c r="K14" s="23" t="n">
        <f aca="false">K8+K13</f>
        <v>1229.90760408695</v>
      </c>
      <c r="L14" s="23" t="n">
        <f aca="false">L8+L13</f>
        <v>1402.38375242749</v>
      </c>
      <c r="M14" s="23" t="n">
        <f aca="false">M8+M13</f>
        <v>1582.63624921055</v>
      </c>
      <c r="N14" s="23" t="n">
        <f aca="false">N8+N13</f>
        <v>1771.80332821269</v>
      </c>
      <c r="O14" s="23" t="n">
        <f aca="false">O8+O13</f>
        <v>1971.06886382179</v>
      </c>
      <c r="P14" s="23" t="n">
        <f aca="false">P8+P13</f>
        <v>2181.67006858448</v>
      </c>
      <c r="Q14" s="23" t="n">
        <f aca="false">Q8+Q13</f>
        <v>2404.90544404376</v>
      </c>
      <c r="R14" s="23" t="n">
        <f aca="false">R8+R13</f>
        <v>2642.14303768996</v>
      </c>
      <c r="S14" s="23" t="n">
        <f aca="false">S8+S13</f>
        <v>2894.82906014661</v>
      </c>
      <c r="T14" s="23" t="n">
        <f aca="false">T8+T13</f>
        <v>3164.49691837786</v>
      </c>
      <c r="U14" s="23" t="n">
        <f aca="false">U8+U13</f>
        <v>3452.77672274256</v>
      </c>
      <c r="V14" s="23" t="n">
        <f aca="false">V8+V13</f>
        <v>3761.40532813931</v>
      </c>
      <c r="W14" s="23" t="n">
        <f aca="false">W8+W13</f>
        <v>4092.23697229868</v>
      </c>
      <c r="X14" s="23" t="n">
        <f aca="false">X8+X13</f>
        <v>4447.25457749541</v>
      </c>
      <c r="Y14" s="23" t="n">
        <f aca="false">Y8+Y13</f>
        <v>4828.5817855924</v>
      </c>
      <c r="Z14" s="23" t="n">
        <f aca="false">Z8+Z13</f>
        <v>5238.495800408</v>
      </c>
      <c r="AA14" s="23" t="n">
        <f aca="false">AA8+AA13</f>
        <v>5679.44111593966</v>
      </c>
      <c r="AB14" s="23" t="n">
        <f aca="false">AB8+AB13</f>
        <v>6154.04421400658</v>
      </c>
      <c r="AC14" s="23" t="n">
        <f aca="false">AC8+AC13</f>
        <v>6665.12932041812</v>
      </c>
      <c r="AD14" s="23" t="n">
        <f aca="false">AD8+AD13</f>
        <v>7215.7353148653</v>
      </c>
      <c r="AE14" s="23" t="n">
        <f aca="false">AE8+AE13</f>
        <v>7809.13389640356</v>
      </c>
      <c r="AF14" s="23" t="n">
        <f aca="false">AF8+AF13</f>
        <v>8448.84911368488</v>
      </c>
      <c r="AG14" s="23" t="n">
        <f aca="false">AG8+AG13</f>
        <v>9138.67837704725</v>
      </c>
      <c r="AH14" s="23" t="n">
        <f aca="false">AH8+AH13</f>
        <v>9882.71507822628</v>
      </c>
      <c r="AI14" s="23" t="n">
        <f aca="false">AI8+AI13</f>
        <v>10685.3729528668</v>
      </c>
      <c r="AJ14" s="23" t="n">
        <f aca="false">AJ8+AJ13</f>
        <v>11551.4123312362</v>
      </c>
      <c r="AK14" s="23" t="n">
        <f aca="false">AK8+AK13</f>
        <v>12485.9684336383</v>
      </c>
      <c r="AL14" s="23" t="n">
        <f aca="false">AL8+AL13</f>
        <v>13494.5818790547</v>
      </c>
      <c r="AM14" s="23" t="n">
        <f aca="false">AM8+AM13</f>
        <v>14565.4299444343</v>
      </c>
      <c r="AN14" s="23" t="n">
        <f aca="false">AN8+AN13</f>
        <v>15546.9450074989</v>
      </c>
      <c r="AO14" s="23" t="n">
        <f aca="false">AO8+AO13</f>
        <v>16447.7219247899</v>
      </c>
      <c r="AP14" s="23" t="n">
        <f aca="false">AP8+AP13</f>
        <v>17275.5288408062</v>
      </c>
      <c r="AQ14" s="23" t="n">
        <f aca="false">AQ8+AQ13</f>
        <v>18036.6090588111</v>
      </c>
      <c r="AR14" s="23" t="n">
        <f aca="false">AR8+AR13</f>
        <v>18736.6569446484</v>
      </c>
      <c r="AS14" s="23" t="n">
        <f aca="false">AS8+AS13</f>
        <v>19380.8668127152</v>
      </c>
      <c r="AT14" s="23" t="n">
        <f aca="false">AT8+AT13</f>
        <v>19973.9774329325</v>
      </c>
      <c r="AU14" s="23" t="n">
        <f aca="false">AU8+AU13</f>
        <v>20520.3125519958</v>
      </c>
      <c r="AV14" s="23" t="n">
        <f aca="false">AV8+AV13</f>
        <v>21023.8177868224</v>
      </c>
      <c r="AW14" s="23" t="n">
        <f aca="false">AW8+AW13</f>
        <v>21488.0942159343</v>
      </c>
      <c r="AX14" s="23" t="n">
        <f aca="false">AX8+AX13</f>
        <v>21916.4289652291</v>
      </c>
      <c r="AY14" s="23" t="n">
        <f aca="false">AY8+AY13</f>
        <v>22311.8230579382</v>
      </c>
      <c r="AZ14" s="23" t="n">
        <f aca="false">AZ8+AZ13</f>
        <v>22677.0167743203</v>
      </c>
      <c r="BA14" s="23" t="n">
        <f aca="false">BA8+BA13</f>
        <v>23014.5127445641</v>
      </c>
      <c r="BB14" s="23" t="n">
        <f aca="false">BB8+BB13</f>
        <v>23326.5969782887</v>
      </c>
      <c r="BC14" s="23" t="n">
        <f aca="false">BC8+BC13</f>
        <v>23615.3580157487</v>
      </c>
      <c r="BD14" s="23" t="n">
        <f aca="false">BD8+BD13</f>
        <v>23882.704369217</v>
      </c>
      <c r="BE14" s="23" t="n">
        <f aca="false">BE8+BE13</f>
        <v>24130.3804078778</v>
      </c>
      <c r="BF14" s="23" t="n">
        <f aca="false">BF8+BF13</f>
        <v>24359.9808257834</v>
      </c>
      <c r="BG14" s="23" t="n">
        <f aca="false">BG8+BG13</f>
        <v>24572.963819893</v>
      </c>
      <c r="BH14" s="23" t="n">
        <f aca="false">BH8+BH13</f>
        <v>24770.6630937955</v>
      </c>
      <c r="BI14" s="23" t="n">
        <f aca="false">BI8+BI13</f>
        <v>24954.2987923391</v>
      </c>
      <c r="BJ14" s="23" t="n">
        <f aca="false">BJ8+BJ13</f>
        <v>25124.9874629343</v>
      </c>
      <c r="BK14" s="23" t="n">
        <f aca="false">BK8+BK13</f>
        <v>25283.7511306998</v>
      </c>
    </row>
    <row r="16" customFormat="false" ht="15" hidden="false" customHeight="false" outlineLevel="0" collapsed="false">
      <c r="A16" s="12" t="s">
        <v>153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</row>
    <row r="17" customFormat="false" ht="15" hidden="false" customHeight="false" outlineLevel="0" collapsed="false">
      <c r="A17" s="9" t="s">
        <v>154</v>
      </c>
      <c r="B17" s="19" t="s">
        <v>155</v>
      </c>
      <c r="C17" s="22" t="n">
        <v>0</v>
      </c>
      <c r="D17" s="22" t="n">
        <f aca="false">D11*Premissas!$D$5</f>
        <v>0</v>
      </c>
      <c r="E17" s="22" t="n">
        <f aca="false">E11*Premissas!$D$5</f>
        <v>0</v>
      </c>
      <c r="F17" s="22" t="n">
        <f aca="false">F11*Premissas!$D$5</f>
        <v>1805.925</v>
      </c>
      <c r="G17" s="22" t="n">
        <f aca="false">G11*Premissas!$D$5</f>
        <v>3684.087</v>
      </c>
      <c r="H17" s="22" t="n">
        <f aca="false">H11*Premissas!$D$5</f>
        <v>5643.15444</v>
      </c>
      <c r="I17" s="22" t="n">
        <f aca="false">I11*Premissas!$D$5</f>
        <v>7692.373656</v>
      </c>
      <c r="J17" s="22" t="n">
        <f aca="false">J11*Premissas!$D$5</f>
        <v>9841.619734848</v>
      </c>
      <c r="K17" s="22" t="n">
        <f aca="false">K11*Premissas!$D$5</f>
        <v>12101.4512525491</v>
      </c>
      <c r="L17" s="22" t="n">
        <f aca="false">L11*Premissas!$D$5</f>
        <v>14483.1692141098</v>
      </c>
      <c r="M17" s="22" t="n">
        <f aca="false">M11*Premissas!$D$5</f>
        <v>16998.8805381411</v>
      </c>
      <c r="N17" s="22" t="n">
        <f aca="false">N11*Premissas!$D$5</f>
        <v>19661.5664566187</v>
      </c>
      <c r="O17" s="22" t="n">
        <f aca="false">O11*Premissas!$D$5</f>
        <v>22485.1562295576</v>
      </c>
      <c r="P17" s="22" t="n">
        <f aca="false">P11*Premissas!$D$5</f>
        <v>25484.6066060751</v>
      </c>
      <c r="Q17" s="22" t="n">
        <f aca="false">Q11*Premissas!$D$5</f>
        <v>28675.987497588</v>
      </c>
      <c r="R17" s="22" t="n">
        <f aca="false">R11*Premissas!$D$5</f>
        <v>32076.5743659008</v>
      </c>
      <c r="S17" s="22" t="n">
        <f aca="false">S11*Premissas!$D$5</f>
        <v>35704.9478689383</v>
      </c>
      <c r="T17" s="22" t="n">
        <f aca="false">T11*Premissas!$D$5</f>
        <v>39581.1013500683</v>
      </c>
      <c r="U17" s="22" t="n">
        <f aca="false">U11*Premissas!$D$5</f>
        <v>43726.5568036241</v>
      </c>
      <c r="V17" s="22" t="n">
        <f aca="false">V11*Premissas!$D$5</f>
        <v>48164.4899996423</v>
      </c>
      <c r="W17" s="22" t="n">
        <f aca="false">W11*Premissas!$D$5</f>
        <v>52919.8655052729</v>
      </c>
      <c r="X17" s="22" t="n">
        <f aca="false">X11*Premissas!$D$5</f>
        <v>58019.5823991275</v>
      </c>
      <c r="Y17" s="22" t="n">
        <f aca="false">Y11*Premissas!$D$5</f>
        <v>63492.6315383532</v>
      </c>
      <c r="Z17" s="22" t="n">
        <f aca="false">Z11*Premissas!$D$5</f>
        <v>69370.2653068251</v>
      </c>
      <c r="AA17" s="22" t="n">
        <f aca="false">AA11*Premissas!$D$5</f>
        <v>75686.1808469587</v>
      </c>
      <c r="AB17" s="22" t="n">
        <f aca="false">AB11*Premissas!$D$5</f>
        <v>82476.7178576794</v>
      </c>
      <c r="AC17" s="22" t="n">
        <f aca="false">AC11*Premissas!$D$5</f>
        <v>89781.0721275392</v>
      </c>
      <c r="AD17" s="22" t="n">
        <f aca="false">AD11*Premissas!$D$5</f>
        <v>97641.526065338</v>
      </c>
      <c r="AE17" s="22" t="n">
        <f aca="false">AE11*Premissas!$D$5</f>
        <v>106103.697591457</v>
      </c>
      <c r="AF17" s="22" t="n">
        <f aca="false">AF11*Premissas!$D$5</f>
        <v>115216.80886203</v>
      </c>
      <c r="AG17" s="22" t="n">
        <f aca="false">AG11*Premissas!$D$5</f>
        <v>125033.976415718</v>
      </c>
      <c r="AH17" s="22" t="n">
        <f aca="false">AH11*Premissas!$D$5</f>
        <v>135612.524459912</v>
      </c>
      <c r="AI17" s="22" t="n">
        <f aca="false">AI11*Premissas!$D$5</f>
        <v>147014.323150405</v>
      </c>
      <c r="AJ17" s="22" t="n">
        <f aca="false">AJ11*Premissas!$D$5</f>
        <v>159306.153866788</v>
      </c>
      <c r="AK17" s="22" t="n">
        <f aca="false">AK11*Premissas!$D$5</f>
        <v>172560.103645909</v>
      </c>
      <c r="AL17" s="22" t="n">
        <f aca="false">AL11*Premissas!$D$5</f>
        <v>186853.991108568</v>
      </c>
      <c r="AM17" s="22" t="n">
        <f aca="false">AM11*Premissas!$D$5</f>
        <v>202271.8264014</v>
      </c>
      <c r="AN17" s="22" t="n">
        <f aca="false">AN11*Premissas!$D$5</f>
        <v>218904.307877493</v>
      </c>
      <c r="AO17" s="22" t="n">
        <f aca="false">AO11*Premissas!$D$5</f>
        <v>236635.035562393</v>
      </c>
      <c r="AP17" s="22" t="n">
        <f aca="false">AP11*Premissas!$D$5</f>
        <v>253656.534139897</v>
      </c>
      <c r="AQ17" s="22" t="n">
        <f aca="false">AQ11*Premissas!$D$5</f>
        <v>269997.172774302</v>
      </c>
      <c r="AR17" s="22" t="n">
        <f aca="false">AR11*Premissas!$D$5</f>
        <v>285684.185863329</v>
      </c>
      <c r="AS17" s="22" t="n">
        <f aca="false">AS11*Premissas!$D$5</f>
        <v>300743.718428796</v>
      </c>
      <c r="AT17" s="22" t="n">
        <f aca="false">AT11*Premissas!$D$5</f>
        <v>315200.869691644</v>
      </c>
      <c r="AU17" s="22" t="n">
        <f aca="false">AU11*Premissas!$D$5</f>
        <v>329079.734903979</v>
      </c>
      <c r="AV17" s="22" t="n">
        <f aca="false">AV11*Premissas!$D$5</f>
        <v>342403.44550782</v>
      </c>
      <c r="AW17" s="22" t="n">
        <f aca="false">AW11*Premissas!$D$5</f>
        <v>355194.207687507</v>
      </c>
      <c r="AX17" s="22" t="n">
        <f aca="false">AX11*Premissas!$D$5</f>
        <v>367473.339380006</v>
      </c>
      <c r="AY17" s="22" t="n">
        <f aca="false">AY11*Premissas!$D$5</f>
        <v>379261.305804806</v>
      </c>
      <c r="AZ17" s="22" t="n">
        <f aca="false">AZ11*Premissas!$D$5</f>
        <v>390577.753572614</v>
      </c>
      <c r="BA17" s="22" t="n">
        <f aca="false">BA11*Premissas!$D$5</f>
        <v>401441.543429709</v>
      </c>
      <c r="BB17" s="22" t="n">
        <f aca="false">BB11*Premissas!$D$5</f>
        <v>411870.781692521</v>
      </c>
      <c r="BC17" s="22" t="n">
        <f aca="false">BC11*Premissas!$D$5</f>
        <v>421882.85042482</v>
      </c>
      <c r="BD17" s="22" t="n">
        <f aca="false">BD11*Premissas!$D$5</f>
        <v>431494.436407827</v>
      </c>
      <c r="BE17" s="22" t="n">
        <f aca="false">BE11*Premissas!$D$5</f>
        <v>440721.558951514</v>
      </c>
      <c r="BF17" s="22" t="n">
        <f aca="false">BF11*Premissas!$D$5</f>
        <v>449579.596593454</v>
      </c>
      <c r="BG17" s="22" t="n">
        <f aca="false">BG11*Premissas!$D$5</f>
        <v>458083.312729715</v>
      </c>
      <c r="BH17" s="22" t="n">
        <f aca="false">BH11*Premissas!$D$5</f>
        <v>466246.880220527</v>
      </c>
      <c r="BI17" s="22" t="n">
        <f aca="false">BI11*Premissas!$D$5</f>
        <v>474083.905011706</v>
      </c>
      <c r="BJ17" s="22" t="n">
        <f aca="false">BJ11*Premissas!$D$5</f>
        <v>481607.448811238</v>
      </c>
      <c r="BK17" s="22" t="n">
        <f aca="false">BK11*Premissas!$D$5</f>
        <v>488830.050858788</v>
      </c>
    </row>
    <row r="18" customFormat="false" ht="15" hidden="false" customHeight="false" outlineLevel="0" collapsed="false">
      <c r="A18" s="9" t="s">
        <v>156</v>
      </c>
      <c r="B18" s="19" t="s">
        <v>155</v>
      </c>
      <c r="C18" s="22" t="n">
        <v>0</v>
      </c>
      <c r="D18" s="22" t="n">
        <f aca="false">D12*Premissas!$D$6</f>
        <v>0</v>
      </c>
      <c r="E18" s="22" t="n">
        <f aca="false">E12*Premissas!$D$6</f>
        <v>0</v>
      </c>
      <c r="F18" s="22" t="n">
        <f aca="false">F12*Premissas!$D$6</f>
        <v>2962.575</v>
      </c>
      <c r="G18" s="22" t="n">
        <f aca="false">G12*Premissas!$D$6</f>
        <v>6043.653</v>
      </c>
      <c r="H18" s="22" t="n">
        <f aca="false">H12*Premissas!$D$6</f>
        <v>9257.45436</v>
      </c>
      <c r="I18" s="22" t="n">
        <f aca="false">I12*Premissas!$D$6</f>
        <v>12619.147464</v>
      </c>
      <c r="J18" s="22" t="n">
        <f aca="false">J12*Premissas!$D$6</f>
        <v>16144.932146112</v>
      </c>
      <c r="K18" s="22" t="n">
        <f aca="false">K12*Premissas!$D$6</f>
        <v>19852.1294873933</v>
      </c>
      <c r="L18" s="22" t="n">
        <f aca="false">L12*Premissas!$D$6</f>
        <v>23759.2785051934</v>
      </c>
      <c r="M18" s="22" t="n">
        <f aca="false">M12*Premissas!$D$6</f>
        <v>27886.2402980651</v>
      </c>
      <c r="N18" s="22" t="n">
        <f aca="false">N12*Premissas!$D$6</f>
        <v>32254.3102538684</v>
      </c>
      <c r="O18" s="22" t="n">
        <f aca="false">O12*Premissas!$D$6</f>
        <v>36886.3389768575</v>
      </c>
      <c r="P18" s="22" t="n">
        <f aca="false">P12*Premissas!$D$6</f>
        <v>41806.8626415787</v>
      </c>
      <c r="Q18" s="22" t="n">
        <f aca="false">Q12*Premissas!$D$6</f>
        <v>47042.2435376146</v>
      </c>
      <c r="R18" s="22" t="n">
        <f aca="false">R12*Premissas!$D$6</f>
        <v>52620.821629945</v>
      </c>
      <c r="S18" s="22" t="n">
        <f aca="false">S12*Premissas!$D$6</f>
        <v>58573.078025289</v>
      </c>
      <c r="T18" s="22" t="n">
        <f aca="false">T12*Premissas!$D$6</f>
        <v>64931.8113056625</v>
      </c>
      <c r="U18" s="22" t="n">
        <f aca="false">U12*Premissas!$D$6</f>
        <v>71732.327766932</v>
      </c>
      <c r="V18" s="22" t="n">
        <f aca="false">V12*Premissas!$D$6</f>
        <v>79012.6466828303</v>
      </c>
      <c r="W18" s="22" t="n">
        <f aca="false">W12*Premissas!$D$6</f>
        <v>86813.7218042188</v>
      </c>
      <c r="X18" s="22" t="n">
        <f aca="false">X12*Premissas!$D$6</f>
        <v>95179.6803998478</v>
      </c>
      <c r="Y18" s="22" t="n">
        <f aca="false">Y12*Premissas!$D$6</f>
        <v>104158.081249076</v>
      </c>
      <c r="Z18" s="22" t="n">
        <f aca="false">Z12*Premissas!$D$6</f>
        <v>113800.193109552</v>
      </c>
      <c r="AA18" s="22" t="n">
        <f aca="false">AA12*Premissas!$D$6</f>
        <v>124161.295304444</v>
      </c>
      <c r="AB18" s="22" t="n">
        <f aca="false">AB12*Premissas!$D$6</f>
        <v>135301.002205083</v>
      </c>
      <c r="AC18" s="22" t="n">
        <f aca="false">AC12*Premissas!$D$6</f>
        <v>147283.613526721</v>
      </c>
      <c r="AD18" s="22" t="n">
        <f aca="false">AD12*Premissas!$D$6</f>
        <v>160178.492508282</v>
      </c>
      <c r="AE18" s="22" t="n">
        <f aca="false">AE12*Premissas!$D$6</f>
        <v>174060.47421239</v>
      </c>
      <c r="AF18" s="22" t="n">
        <f aca="false">AF12*Premissas!$D$6</f>
        <v>189010.306360689</v>
      </c>
      <c r="AG18" s="22" t="n">
        <f aca="false">AG12*Premissas!$D$6</f>
        <v>205115.1253124</v>
      </c>
      <c r="AH18" s="22" t="n">
        <f aca="false">AH12*Premissas!$D$6</f>
        <v>222468.970002533</v>
      </c>
      <c r="AI18" s="22" t="n">
        <f aca="false">AI12*Premissas!$D$6</f>
        <v>241173.336881271</v>
      </c>
      <c r="AJ18" s="22" t="n">
        <f aca="false">AJ12*Premissas!$D$6</f>
        <v>261337.779139167</v>
      </c>
      <c r="AK18" s="22" t="n">
        <f aca="false">AK12*Premissas!$D$6</f>
        <v>283080.553765399</v>
      </c>
      <c r="AL18" s="22" t="n">
        <f aca="false">AL12*Premissas!$D$6</f>
        <v>306529.320269925</v>
      </c>
      <c r="AM18" s="22" t="n">
        <f aca="false">AM12*Premissas!$D$6</f>
        <v>331821.895206682</v>
      </c>
      <c r="AN18" s="22" t="n">
        <f aca="false">AN12*Premissas!$D$6</f>
        <v>359107.066965773</v>
      </c>
      <c r="AO18" s="22" t="n">
        <f aca="false">AO12*Premissas!$D$6</f>
        <v>388193.884287142</v>
      </c>
      <c r="AP18" s="22" t="n">
        <f aca="false">AP12*Premissas!$D$6</f>
        <v>416117.228915656</v>
      </c>
      <c r="AQ18" s="22" t="n">
        <f aca="false">AQ12*Premissas!$D$6</f>
        <v>442923.63975903</v>
      </c>
      <c r="AR18" s="22" t="n">
        <f aca="false">AR12*Premissas!$D$6</f>
        <v>468657.794168669</v>
      </c>
      <c r="AS18" s="22" t="n">
        <f aca="false">AS12*Premissas!$D$6</f>
        <v>493362.582401922</v>
      </c>
      <c r="AT18" s="22" t="n">
        <f aca="false">AT12*Premissas!$D$6</f>
        <v>517079.179105845</v>
      </c>
      <c r="AU18" s="22" t="n">
        <f aca="false">AU12*Premissas!$D$6</f>
        <v>539847.111941611</v>
      </c>
      <c r="AV18" s="22" t="n">
        <f aca="false">AV12*Premissas!$D$6</f>
        <v>561704.327463947</v>
      </c>
      <c r="AW18" s="22" t="n">
        <f aca="false">AW12*Premissas!$D$6</f>
        <v>582687.254365389</v>
      </c>
      <c r="AX18" s="22" t="n">
        <f aca="false">AX12*Premissas!$D$6</f>
        <v>602830.864190774</v>
      </c>
      <c r="AY18" s="22" t="n">
        <f aca="false">AY12*Premissas!$D$6</f>
        <v>622168.729623143</v>
      </c>
      <c r="AZ18" s="22" t="n">
        <f aca="false">AZ12*Premissas!$D$6</f>
        <v>640733.080438217</v>
      </c>
      <c r="BA18" s="22" t="n">
        <f aca="false">BA12*Premissas!$D$6</f>
        <v>658554.857220688</v>
      </c>
      <c r="BB18" s="22" t="n">
        <f aca="false">BB12*Premissas!$D$6</f>
        <v>675663.762931861</v>
      </c>
      <c r="BC18" s="22" t="n">
        <f aca="false">BC12*Premissas!$D$6</f>
        <v>692088.312414586</v>
      </c>
      <c r="BD18" s="22" t="n">
        <f aca="false">BD12*Premissas!$D$6</f>
        <v>707855.879918003</v>
      </c>
      <c r="BE18" s="22" t="n">
        <f aca="false">BE12*Premissas!$D$6</f>
        <v>722992.744721283</v>
      </c>
      <c r="BF18" s="22" t="n">
        <f aca="false">BF12*Premissas!$D$6</f>
        <v>737524.134932432</v>
      </c>
      <c r="BG18" s="22" t="n">
        <f aca="false">BG12*Premissas!$D$6</f>
        <v>751474.269535134</v>
      </c>
      <c r="BH18" s="22" t="n">
        <f aca="false">BH12*Premissas!$D$6</f>
        <v>764866.398753729</v>
      </c>
      <c r="BI18" s="22" t="n">
        <f aca="false">BI12*Premissas!$D$6</f>
        <v>777722.84280358</v>
      </c>
      <c r="BJ18" s="22" t="n">
        <f aca="false">BJ12*Premissas!$D$6</f>
        <v>790065.029091437</v>
      </c>
      <c r="BK18" s="22" t="n">
        <f aca="false">BK12*Premissas!$D$6</f>
        <v>801913.527927779</v>
      </c>
    </row>
    <row r="19" customFormat="false" ht="15" hidden="false" customHeight="false" outlineLevel="0" collapsed="false">
      <c r="A19" s="9" t="s">
        <v>157</v>
      </c>
      <c r="B19" s="19" t="s">
        <v>158</v>
      </c>
      <c r="C19" s="24" t="n">
        <v>0</v>
      </c>
      <c r="D19" s="24" t="n">
        <f aca="false">D13*Premissas!$D$18</f>
        <v>0</v>
      </c>
      <c r="E19" s="24" t="n">
        <f aca="false">E13*Premissas!$D$18</f>
        <v>0</v>
      </c>
      <c r="F19" s="24" t="n">
        <f aca="false">F13*Premissas!$D$18</f>
        <v>140.25</v>
      </c>
      <c r="G19" s="24" t="n">
        <f aca="false">G13*Premissas!$D$18</f>
        <v>286.11</v>
      </c>
      <c r="H19" s="24" t="n">
        <f aca="false">H13*Premissas!$D$18</f>
        <v>438.2532</v>
      </c>
      <c r="I19" s="24" t="n">
        <f aca="false">I13*Premissas!$D$18</f>
        <v>597.39768</v>
      </c>
      <c r="J19" s="24" t="n">
        <f aca="false">J13*Premissas!$D$18</f>
        <v>764.31034944</v>
      </c>
      <c r="K19" s="24" t="n">
        <f aca="false">K13*Premissas!$D$18</f>
        <v>939.8111982336</v>
      </c>
      <c r="L19" s="24" t="n">
        <f aca="false">L13*Premissas!$D$18</f>
        <v>1124.77787409715</v>
      </c>
      <c r="M19" s="24" t="n">
        <f aca="false">M13*Premissas!$D$18</f>
        <v>1320.15061282959</v>
      </c>
      <c r="N19" s="24" t="n">
        <f aca="false">N13*Premissas!$D$18</f>
        <v>1526.93755030844</v>
      </c>
      <c r="O19" s="24" t="n">
        <f aca="false">O13*Premissas!$D$18</f>
        <v>1746.2204472475</v>
      </c>
      <c r="P19" s="24" t="n">
        <f aca="false">P13*Premissas!$D$18</f>
        <v>1979.16086022511</v>
      </c>
      <c r="Q19" s="24" t="n">
        <f aca="false">Q13*Premissas!$D$18</f>
        <v>2227.00679515302</v>
      </c>
      <c r="R19" s="24" t="n">
        <f aca="false">R13*Premissas!$D$18</f>
        <v>2491.09988223076</v>
      </c>
      <c r="S19" s="24" t="n">
        <f aca="false">S13*Premissas!$D$18</f>
        <v>2772.8831145361</v>
      </c>
      <c r="T19" s="24" t="n">
        <f aca="false">T13*Premissas!$D$18</f>
        <v>3073.90919575679</v>
      </c>
      <c r="U19" s="24" t="n">
        <f aca="false">U13*Premissas!$D$18</f>
        <v>3395.84954619283</v>
      </c>
      <c r="V19" s="24" t="n">
        <f aca="false">V13*Premissas!$D$18</f>
        <v>3740.50402007272</v>
      </c>
      <c r="W19" s="24" t="n">
        <f aca="false">W13*Premissas!$D$18</f>
        <v>4109.81139145564</v>
      </c>
      <c r="X19" s="24" t="n">
        <f aca="false">X13*Premissas!$D$18</f>
        <v>4505.8606705581</v>
      </c>
      <c r="Y19" s="24" t="n">
        <f aca="false">Y13*Premissas!$D$18</f>
        <v>4930.90331727732</v>
      </c>
      <c r="Z19" s="24" t="n">
        <f aca="false">Z13*Premissas!$D$18</f>
        <v>5387.36642401109</v>
      </c>
      <c r="AA19" s="24" t="n">
        <f aca="false">AA13*Premissas!$D$18</f>
        <v>5877.8669456295</v>
      </c>
      <c r="AB19" s="24" t="n">
        <f aca="false">AB13*Premissas!$D$18</f>
        <v>6405.22706066948</v>
      </c>
      <c r="AC19" s="24" t="n">
        <f aca="false">AC13*Premissas!$D$18</f>
        <v>6972.49075453708</v>
      </c>
      <c r="AD19" s="24" t="n">
        <f aca="false">AD13*Premissas!$D$18</f>
        <v>7582.94172275352</v>
      </c>
      <c r="AE19" s="24" t="n">
        <f aca="false">AE13*Premissas!$D$18</f>
        <v>8240.12270011314</v>
      </c>
      <c r="AF19" s="24" t="n">
        <f aca="false">AF13*Premissas!$D$18</f>
        <v>8947.85633007996</v>
      </c>
      <c r="AG19" s="24" t="n">
        <f aca="false">AG13*Premissas!$D$18</f>
        <v>9710.26769788581</v>
      </c>
      <c r="AH19" s="24" t="n">
        <f aca="false">AH13*Premissas!$D$18</f>
        <v>10531.8086606601</v>
      </c>
      <c r="AI19" s="24" t="n">
        <f aca="false">AI13*Premissas!$D$18</f>
        <v>11417.2841185787</v>
      </c>
      <c r="AJ19" s="24" t="n">
        <f aca="false">AJ13*Premissas!$D$18</f>
        <v>12371.8803825281</v>
      </c>
      <c r="AK19" s="24" t="n">
        <f aca="false">AK13*Premissas!$D$18</f>
        <v>13401.1958062149</v>
      </c>
      <c r="AL19" s="24" t="n">
        <f aca="false">AL13*Premissas!$D$18</f>
        <v>14511.2738640733</v>
      </c>
      <c r="AM19" s="24" t="n">
        <f aca="false">AM13*Premissas!$D$18</f>
        <v>15708.6388708259</v>
      </c>
      <c r="AN19" s="24" t="n">
        <f aca="false">AN13*Premissas!$D$18</f>
        <v>17000.3345542137</v>
      </c>
      <c r="AO19" s="24" t="n">
        <f aca="false">AO13*Premissas!$D$18</f>
        <v>18377.3211720452</v>
      </c>
      <c r="AP19" s="24" t="n">
        <f aca="false">AP13*Premissas!$D$18</f>
        <v>19699.2283251633</v>
      </c>
      <c r="AQ19" s="24" t="n">
        <f aca="false">AQ13*Premissas!$D$18</f>
        <v>20968.2591921568</v>
      </c>
      <c r="AR19" s="24" t="n">
        <f aca="false">AR13*Premissas!$D$18</f>
        <v>22186.5288244705</v>
      </c>
      <c r="AS19" s="24" t="n">
        <f aca="false">AS13*Premissas!$D$18</f>
        <v>23356.0676714917</v>
      </c>
      <c r="AT19" s="24" t="n">
        <f aca="false">AT13*Premissas!$D$18</f>
        <v>24478.8249646321</v>
      </c>
      <c r="AU19" s="24" t="n">
        <f aca="false">AU13*Premissas!$D$18</f>
        <v>25556.6719660468</v>
      </c>
      <c r="AV19" s="24" t="n">
        <f aca="false">AV13*Premissas!$D$18</f>
        <v>26591.4050874049</v>
      </c>
      <c r="AW19" s="24" t="n">
        <f aca="false">AW13*Premissas!$D$18</f>
        <v>27584.7488839087</v>
      </c>
      <c r="AX19" s="24" t="n">
        <f aca="false">AX13*Premissas!$D$18</f>
        <v>28538.3589285524</v>
      </c>
      <c r="AY19" s="24" t="n">
        <f aca="false">AY13*Premissas!$D$18</f>
        <v>29453.8245714103</v>
      </c>
      <c r="AZ19" s="24" t="n">
        <f aca="false">AZ13*Premissas!$D$18</f>
        <v>30332.6715885539</v>
      </c>
      <c r="BA19" s="24" t="n">
        <f aca="false">BA13*Premissas!$D$18</f>
        <v>31176.3647250117</v>
      </c>
      <c r="BB19" s="24" t="n">
        <f aca="false">BB13*Premissas!$D$18</f>
        <v>31986.3101360112</v>
      </c>
      <c r="BC19" s="24" t="n">
        <f aca="false">BC13*Premissas!$D$18</f>
        <v>32763.8577305708</v>
      </c>
      <c r="BD19" s="24" t="n">
        <f aca="false">BD13*Premissas!$D$18</f>
        <v>33510.303421348</v>
      </c>
      <c r="BE19" s="24" t="n">
        <f aca="false">BE13*Premissas!$D$18</f>
        <v>34226.891284494</v>
      </c>
      <c r="BF19" s="24" t="n">
        <f aca="false">BF13*Premissas!$D$18</f>
        <v>34914.8156331143</v>
      </c>
      <c r="BG19" s="24" t="n">
        <f aca="false">BG13*Premissas!$D$18</f>
        <v>35575.2230077897</v>
      </c>
      <c r="BH19" s="24" t="n">
        <f aca="false">BH13*Premissas!$D$18</f>
        <v>36209.2140874781</v>
      </c>
      <c r="BI19" s="24" t="n">
        <f aca="false">BI13*Premissas!$D$18</f>
        <v>36817.845523979</v>
      </c>
      <c r="BJ19" s="24" t="n">
        <f aca="false">BJ13*Premissas!$D$18</f>
        <v>37402.1317030198</v>
      </c>
      <c r="BK19" s="24" t="n">
        <f aca="false">BK13*Premissas!$D$18</f>
        <v>37963.046434899</v>
      </c>
    </row>
    <row r="20" customFormat="false" ht="15" hidden="false" customHeight="false" outlineLevel="0" collapsed="false">
      <c r="A20" s="9" t="s">
        <v>159</v>
      </c>
      <c r="B20" s="19" t="s">
        <v>158</v>
      </c>
      <c r="C20" s="24" t="n">
        <v>0</v>
      </c>
      <c r="D20" s="24" t="n">
        <f aca="false">D8*Premissas!$D$19</f>
        <v>180</v>
      </c>
      <c r="E20" s="24" t="n">
        <f aca="false">E8*Premissas!$D$19</f>
        <v>358.2</v>
      </c>
      <c r="F20" s="24" t="n">
        <f aca="false">F8*Premissas!$D$19</f>
        <v>516.114</v>
      </c>
      <c r="G20" s="24" t="n">
        <f aca="false">G8*Premissas!$D$19</f>
        <v>675.0279</v>
      </c>
      <c r="H20" s="24" t="n">
        <f aca="false">H8*Premissas!$D$19</f>
        <v>836.0686818</v>
      </c>
      <c r="I20" s="24" t="n">
        <f aca="false">I8*Premissas!$D$19</f>
        <v>1000.359256662</v>
      </c>
      <c r="J20" s="24" t="n">
        <f aca="false">J8*Premissas!$D$19</f>
        <v>1169.02662028434</v>
      </c>
      <c r="K20" s="24" t="n">
        <f aca="false">K8*Premissas!$D$19</f>
        <v>1343.20989691842</v>
      </c>
      <c r="L20" s="24" t="n">
        <f aca="false">L8*Premissas!$D$19</f>
        <v>1524.06833245221</v>
      </c>
      <c r="M20" s="24" t="n">
        <f aca="false">M8*Premissas!$D$19</f>
        <v>1712.78929488848</v>
      </c>
      <c r="N20" s="24" t="n">
        <f aca="false">N8*Premissas!$D$19</f>
        <v>1910.59633969403</v>
      </c>
      <c r="O20" s="24" t="n">
        <f aca="false">O8*Premissas!$D$19</f>
        <v>2118.75739697473</v>
      </c>
      <c r="P20" s="24" t="n">
        <f aca="false">P8*Premissas!$D$19</f>
        <v>2338.59313732842</v>
      </c>
      <c r="Q20" s="24" t="n">
        <f aca="false">Q8*Premissas!$D$19</f>
        <v>2571.48557353679</v>
      </c>
      <c r="R20" s="24" t="n">
        <f aca="false">R8*Premissas!$D$19</f>
        <v>2818.88695597184</v>
      </c>
      <c r="S20" s="24" t="n">
        <f aca="false">S8*Premissas!$D$19</f>
        <v>3082.32902071201</v>
      </c>
      <c r="T20" s="24" t="n">
        <f aca="false">T8*Premissas!$D$19</f>
        <v>3363.43265088777</v>
      </c>
      <c r="U20" s="24" t="n">
        <f aca="false">U8*Premissas!$D$19</f>
        <v>3663.9180137109</v>
      </c>
      <c r="V20" s="24" t="n">
        <f aca="false">V8*Premissas!$D$19</f>
        <v>3985.61523799219</v>
      </c>
      <c r="W20" s="24" t="n">
        <f aca="false">W8*Premissas!$D$19</f>
        <v>4330.47569972939</v>
      </c>
      <c r="X20" s="24" t="n">
        <f aca="false">X8*Premissas!$D$19</f>
        <v>4700.58398656276</v>
      </c>
      <c r="Y20" s="24" t="n">
        <f aca="false">Y8*Premissas!$D$19</f>
        <v>5098.17061556585</v>
      </c>
      <c r="Z20" s="24" t="n">
        <f aca="false">Z8*Premissas!$D$19</f>
        <v>5525.62558298215</v>
      </c>
      <c r="AA20" s="24" t="n">
        <f aca="false">AA8*Premissas!$D$19</f>
        <v>5985.51282915637</v>
      </c>
      <c r="AB20" s="24" t="n">
        <f aca="false">AB8*Premissas!$D$19</f>
        <v>6480.58570706632</v>
      </c>
      <c r="AC20" s="24" t="n">
        <f aca="false">AC8*Premissas!$D$19</f>
        <v>7013.80354856709</v>
      </c>
      <c r="AD20" s="24" t="n">
        <f aca="false">AD8*Premissas!$D$19</f>
        <v>7588.34942874374</v>
      </c>
      <c r="AE20" s="24" t="n">
        <f aca="false">AE8*Premissas!$D$19</f>
        <v>8207.6492356683</v>
      </c>
      <c r="AF20" s="24" t="n">
        <f aca="false">AF8*Premissas!$D$19</f>
        <v>8875.39216041057</v>
      </c>
      <c r="AG20" s="24" t="n">
        <f aca="false">AG8*Premissas!$D$19</f>
        <v>9595.55273040223</v>
      </c>
      <c r="AH20" s="24" t="n">
        <f aca="false">AH8*Premissas!$D$19</f>
        <v>10372.4145182489</v>
      </c>
      <c r="AI20" s="24" t="n">
        <f aca="false">AI8*Premissas!$D$19</f>
        <v>11210.5956678761</v>
      </c>
      <c r="AJ20" s="24" t="n">
        <f aca="false">AJ8*Premissas!$D$19</f>
        <v>12115.0763905383</v>
      </c>
      <c r="AK20" s="24" t="n">
        <f aca="false">AK8*Premissas!$D$19</f>
        <v>13091.2285947826</v>
      </c>
      <c r="AL20" s="24" t="n">
        <f aca="false">AL8*Premissas!$D$19</f>
        <v>14144.8478269964</v>
      </c>
      <c r="AM20" s="24" t="n">
        <f aca="false">AM8*Premissas!$D$19</f>
        <v>15260.8257397928</v>
      </c>
      <c r="AN20" s="24" t="n">
        <f aca="false">AN8*Premissas!$D$19</f>
        <v>16256.2867778155</v>
      </c>
      <c r="AO20" s="24" t="n">
        <f aca="false">AO8*Premissas!$D$19</f>
        <v>17142.8209678122</v>
      </c>
      <c r="AP20" s="24" t="n">
        <f aca="false">AP8*Premissas!$D$19</f>
        <v>17949.5670807091</v>
      </c>
      <c r="AQ20" s="24" t="n">
        <f aca="false">AQ8*Premissas!$D$19</f>
        <v>18683.7060434452</v>
      </c>
      <c r="AR20" s="24" t="n">
        <f aca="false">AR8*Premissas!$D$19</f>
        <v>19351.7724995352</v>
      </c>
      <c r="AS20" s="24" t="n">
        <f aca="false">AS8*Premissas!$D$19</f>
        <v>19959.712974577</v>
      </c>
      <c r="AT20" s="24" t="n">
        <f aca="false">AT8*Premissas!$D$19</f>
        <v>20512.9388068651</v>
      </c>
      <c r="AU20" s="24" t="n">
        <f aca="false">AU8*Premissas!$D$19</f>
        <v>21016.3743142472</v>
      </c>
      <c r="AV20" s="24" t="n">
        <f aca="false">AV8*Premissas!$D$19</f>
        <v>21474.500625965</v>
      </c>
      <c r="AW20" s="24" t="n">
        <f aca="false">AW8*Premissas!$D$19</f>
        <v>21891.3955696281</v>
      </c>
      <c r="AX20" s="24" t="n">
        <f aca="false">AX8*Premissas!$D$19</f>
        <v>22270.7699683616</v>
      </c>
      <c r="AY20" s="24" t="n">
        <f aca="false">AY8*Premissas!$D$19</f>
        <v>22616.0006712091</v>
      </c>
      <c r="AZ20" s="24" t="n">
        <f aca="false">AZ8*Premissas!$D$19</f>
        <v>22930.1606108002</v>
      </c>
      <c r="BA20" s="24" t="n">
        <f aca="false">BA8*Premissas!$D$19</f>
        <v>23216.0461558282</v>
      </c>
      <c r="BB20" s="24" t="n">
        <f aca="false">BB8*Premissas!$D$19</f>
        <v>23476.2020018037</v>
      </c>
      <c r="BC20" s="24" t="n">
        <f aca="false">BC8*Premissas!$D$19</f>
        <v>23712.9438216413</v>
      </c>
      <c r="BD20" s="24" t="n">
        <f aca="false">BD8*Premissas!$D$19</f>
        <v>23928.3788776936</v>
      </c>
      <c r="BE20" s="24" t="n">
        <f aca="false">BE8*Premissas!$D$19</f>
        <v>24124.4247787012</v>
      </c>
      <c r="BF20" s="24" t="n">
        <f aca="false">BF8*Premissas!$D$19</f>
        <v>24302.8265486181</v>
      </c>
      <c r="BG20" s="24" t="n">
        <f aca="false">BG8*Premissas!$D$19</f>
        <v>24465.1721592425</v>
      </c>
      <c r="BH20" s="24" t="n">
        <f aca="false">BH8*Premissas!$D$19</f>
        <v>24612.9066649106</v>
      </c>
      <c r="BI20" s="24" t="n">
        <f aca="false">BI8*Premissas!$D$19</f>
        <v>24747.3450650687</v>
      </c>
      <c r="BJ20" s="24" t="n">
        <f aca="false">BJ8*Premissas!$D$19</f>
        <v>24869.6840092125</v>
      </c>
      <c r="BK20" s="24" t="n">
        <f aca="false">BK8*Premissas!$D$19</f>
        <v>24981.0124483834</v>
      </c>
    </row>
    <row r="21" customFormat="false" ht="15" hidden="false" customHeight="false" outlineLevel="0" collapsed="false">
      <c r="A21" s="9" t="s">
        <v>160</v>
      </c>
      <c r="B21" s="19" t="s">
        <v>155</v>
      </c>
      <c r="C21" s="22" t="n">
        <v>0</v>
      </c>
      <c r="D21" s="22" t="n">
        <f aca="false">(D19+D20)*Premissas!$D$22</f>
        <v>7200</v>
      </c>
      <c r="E21" s="22" t="n">
        <f aca="false">(E19+E20)*Premissas!$D$22</f>
        <v>14328</v>
      </c>
      <c r="F21" s="22" t="n">
        <f aca="false">(F19+F20)*Premissas!$D$22</f>
        <v>26254.56</v>
      </c>
      <c r="G21" s="22" t="n">
        <f aca="false">(G19+G20)*Premissas!$D$22</f>
        <v>38445.516</v>
      </c>
      <c r="H21" s="22" t="n">
        <f aca="false">(H19+H20)*Premissas!$D$22</f>
        <v>50972.875272</v>
      </c>
      <c r="I21" s="22" t="n">
        <f aca="false">(I19+I20)*Premissas!$D$22</f>
        <v>63910.27746648</v>
      </c>
      <c r="J21" s="22" t="n">
        <f aca="false">(J19+J20)*Premissas!$D$22</f>
        <v>77333.4787889736</v>
      </c>
      <c r="K21" s="22" t="n">
        <f aca="false">(K19+K20)*Premissas!$D$22</f>
        <v>91320.8438060809</v>
      </c>
      <c r="L21" s="22" t="n">
        <f aca="false">(L19+L20)*Premissas!$D$22</f>
        <v>105953.848261975</v>
      </c>
      <c r="M21" s="22" t="n">
        <f aca="false">(M19+M20)*Premissas!$D$22</f>
        <v>121317.596308723</v>
      </c>
      <c r="N21" s="22" t="n">
        <f aca="false">(N19+N20)*Premissas!$D$22</f>
        <v>137501.355600099</v>
      </c>
      <c r="O21" s="22" t="n">
        <f aca="false">(O19+O20)*Premissas!$D$22</f>
        <v>154599.113768889</v>
      </c>
      <c r="P21" s="22" t="n">
        <f aca="false">(P19+P20)*Premissas!$D$22</f>
        <v>172710.159902141</v>
      </c>
      <c r="Q21" s="22" t="n">
        <f aca="false">(Q19+Q20)*Premissas!$D$22</f>
        <v>191939.694747592</v>
      </c>
      <c r="R21" s="22" t="n">
        <f aca="false">(R19+R20)*Premissas!$D$22</f>
        <v>212399.473528104</v>
      </c>
      <c r="S21" s="22" t="n">
        <f aca="false">(S19+S20)*Premissas!$D$22</f>
        <v>234208.485409924</v>
      </c>
      <c r="T21" s="22" t="n">
        <f aca="false">(T19+T20)*Premissas!$D$22</f>
        <v>257493.673865782</v>
      </c>
      <c r="U21" s="22" t="n">
        <f aca="false">(U19+U20)*Premissas!$D$22</f>
        <v>282390.702396149</v>
      </c>
      <c r="V21" s="22" t="n">
        <f aca="false">(V19+V20)*Premissas!$D$22</f>
        <v>309044.770322597</v>
      </c>
      <c r="W21" s="22" t="n">
        <f aca="false">(W19+W20)*Premissas!$D$22</f>
        <v>337611.483647401</v>
      </c>
      <c r="X21" s="22" t="n">
        <f aca="false">(X19+X20)*Premissas!$D$22</f>
        <v>368257.786284834</v>
      </c>
      <c r="Y21" s="22" t="n">
        <f aca="false">(Y19+Y20)*Premissas!$D$22</f>
        <v>401162.957313726</v>
      </c>
      <c r="Z21" s="22" t="n">
        <f aca="false">(Z19+Z20)*Premissas!$D$22</f>
        <v>436519.68027973</v>
      </c>
      <c r="AA21" s="22" t="n">
        <f aca="false">(AA19+AA20)*Premissas!$D$22</f>
        <v>474535.190991435</v>
      </c>
      <c r="AB21" s="22" t="n">
        <f aca="false">(AB19+AB20)*Premissas!$D$22</f>
        <v>515432.510709432</v>
      </c>
      <c r="AC21" s="22" t="n">
        <f aca="false">(AC19+AC20)*Premissas!$D$22</f>
        <v>559451.772124167</v>
      </c>
      <c r="AD21" s="22" t="n">
        <f aca="false">(AD19+AD20)*Premissas!$D$22</f>
        <v>606851.64605989</v>
      </c>
      <c r="AE21" s="22" t="n">
        <f aca="false">(AE19+AE20)*Premissas!$D$22</f>
        <v>657910.877431258</v>
      </c>
      <c r="AF21" s="22" t="n">
        <f aca="false">(AF19+AF20)*Premissas!$D$22</f>
        <v>712929.939619621</v>
      </c>
      <c r="AG21" s="22" t="n">
        <f aca="false">(AG19+AG20)*Premissas!$D$22</f>
        <v>772232.817131522</v>
      </c>
      <c r="AH21" s="22" t="n">
        <f aca="false">(AH19+AH20)*Premissas!$D$22</f>
        <v>836168.927156363</v>
      </c>
      <c r="AI21" s="22" t="n">
        <f aca="false">(AI19+AI20)*Premissas!$D$22</f>
        <v>905115.19145819</v>
      </c>
      <c r="AJ21" s="22" t="n">
        <f aca="false">(AJ19+AJ20)*Premissas!$D$22</f>
        <v>979478.270922656</v>
      </c>
      <c r="AK21" s="22" t="n">
        <f aca="false">(AK19+AK20)*Premissas!$D$22</f>
        <v>1059696.9760399</v>
      </c>
      <c r="AL21" s="22" t="n">
        <f aca="false">(AL19+AL20)*Premissas!$D$22</f>
        <v>1146244.86764279</v>
      </c>
      <c r="AM21" s="22" t="n">
        <f aca="false">(AM19+AM20)*Premissas!$D$22</f>
        <v>1238778.58442475</v>
      </c>
      <c r="AN21" s="22" t="n">
        <f aca="false">(AN19+AN20)*Premissas!$D$22</f>
        <v>1330264.85328117</v>
      </c>
      <c r="AO21" s="22" t="n">
        <f aca="false">(AO19+AO20)*Premissas!$D$22</f>
        <v>1420805.68559429</v>
      </c>
      <c r="AP21" s="22" t="n">
        <f aca="false">(AP19+AP20)*Premissas!$D$22</f>
        <v>1505951.8162349</v>
      </c>
      <c r="AQ21" s="22" t="n">
        <f aca="false">(AQ19+AQ20)*Premissas!$D$22</f>
        <v>1586078.60942408</v>
      </c>
      <c r="AR21" s="22" t="n">
        <f aca="false">(AR19+AR20)*Premissas!$D$22</f>
        <v>1661532.05296023</v>
      </c>
      <c r="AS21" s="22" t="n">
        <f aca="false">(AS19+AS20)*Premissas!$D$22</f>
        <v>1732631.22584275</v>
      </c>
      <c r="AT21" s="22" t="n">
        <f aca="false">(AT19+AT20)*Premissas!$D$22</f>
        <v>1799670.55085988</v>
      </c>
      <c r="AU21" s="22" t="n">
        <f aca="false">(AU19+AU20)*Premissas!$D$22</f>
        <v>1862921.85121176</v>
      </c>
      <c r="AV21" s="22" t="n">
        <f aca="false">(AV19+AV20)*Premissas!$D$22</f>
        <v>1922636.22853479</v>
      </c>
      <c r="AW21" s="22" t="n">
        <f aca="false">(AW19+AW20)*Premissas!$D$22</f>
        <v>1979045.77814147</v>
      </c>
      <c r="AX21" s="22" t="n">
        <f aca="false">(AX19+AX20)*Premissas!$D$22</f>
        <v>2032365.15587656</v>
      </c>
      <c r="AY21" s="22" t="n">
        <f aca="false">(AY19+AY20)*Premissas!$D$22</f>
        <v>2082793.00970477</v>
      </c>
      <c r="AZ21" s="22" t="n">
        <f aca="false">(AZ19+AZ20)*Premissas!$D$22</f>
        <v>2130513.28797416</v>
      </c>
      <c r="BA21" s="22" t="n">
        <f aca="false">(BA19+BA20)*Premissas!$D$22</f>
        <v>2175696.4352336</v>
      </c>
      <c r="BB21" s="22" t="n">
        <f aca="false">(BB19+BB20)*Premissas!$D$22</f>
        <v>2218500.4855126</v>
      </c>
      <c r="BC21" s="22" t="n">
        <f aca="false">(BC19+BC20)*Premissas!$D$22</f>
        <v>2259072.06208849</v>
      </c>
      <c r="BD21" s="22" t="n">
        <f aca="false">(BD19+BD20)*Premissas!$D$22</f>
        <v>2297547.29196166</v>
      </c>
      <c r="BE21" s="22" t="n">
        <f aca="false">(BE19+BE20)*Premissas!$D$22</f>
        <v>2334052.64252781</v>
      </c>
      <c r="BF21" s="22" t="n">
        <f aca="false">(BF19+BF20)*Premissas!$D$22</f>
        <v>2368705.68726929</v>
      </c>
      <c r="BG21" s="22" t="n">
        <f aca="false">(BG19+BG20)*Premissas!$D$22</f>
        <v>2401615.80668129</v>
      </c>
      <c r="BH21" s="22" t="n">
        <f aca="false">(BH19+BH20)*Premissas!$D$22</f>
        <v>2432884.83009555</v>
      </c>
      <c r="BI21" s="22" t="n">
        <f aca="false">(BI19+BI20)*Premissas!$D$22</f>
        <v>2462607.62356191</v>
      </c>
      <c r="BJ21" s="22" t="n">
        <f aca="false">(BJ19+BJ20)*Premissas!$D$22</f>
        <v>2490872.62848929</v>
      </c>
      <c r="BK21" s="22" t="n">
        <f aca="false">(BK19+BK20)*Premissas!$D$22</f>
        <v>2517762.3553313</v>
      </c>
    </row>
    <row r="22" customFormat="false" ht="15" hidden="false" customHeight="false" outlineLevel="0" collapsed="false">
      <c r="A22" s="9" t="s">
        <v>161</v>
      </c>
      <c r="B22" s="19" t="s">
        <v>155</v>
      </c>
      <c r="C22" s="22" t="n">
        <v>0</v>
      </c>
      <c r="D22" s="22" t="n">
        <f aca="false">(D19+D20)*Premissas!$D$23</f>
        <v>8100</v>
      </c>
      <c r="E22" s="22" t="n">
        <f aca="false">(E19+E20)*Premissas!$D$23</f>
        <v>16119</v>
      </c>
      <c r="F22" s="22" t="n">
        <f aca="false">(F19+F20)*Premissas!$D$23</f>
        <v>29536.38</v>
      </c>
      <c r="G22" s="22" t="n">
        <f aca="false">(G19+G20)*Premissas!$D$23</f>
        <v>43251.2055</v>
      </c>
      <c r="H22" s="22" t="n">
        <f aca="false">(H19+H20)*Premissas!$D$23</f>
        <v>57344.484681</v>
      </c>
      <c r="I22" s="22" t="n">
        <f aca="false">(I19+I20)*Premissas!$D$23</f>
        <v>71899.06214979</v>
      </c>
      <c r="J22" s="22" t="n">
        <f aca="false">(J19+J20)*Premissas!$D$23</f>
        <v>87000.1636375953</v>
      </c>
      <c r="K22" s="22" t="n">
        <f aca="false">(K19+K20)*Premissas!$D$23</f>
        <v>102735.949281841</v>
      </c>
      <c r="L22" s="22" t="n">
        <f aca="false">(L19+L20)*Premissas!$D$23</f>
        <v>119198.079294721</v>
      </c>
      <c r="M22" s="22" t="n">
        <f aca="false">(M19+M20)*Premissas!$D$23</f>
        <v>136482.295847313</v>
      </c>
      <c r="N22" s="22" t="n">
        <f aca="false">(N19+N20)*Premissas!$D$23</f>
        <v>154689.025050112</v>
      </c>
      <c r="O22" s="22" t="n">
        <f aca="false">(O19+O20)*Premissas!$D$23</f>
        <v>173924.002990001</v>
      </c>
      <c r="P22" s="22" t="n">
        <f aca="false">(P19+P20)*Premissas!$D$23</f>
        <v>194298.929889909</v>
      </c>
      <c r="Q22" s="22" t="n">
        <f aca="false">(Q19+Q20)*Premissas!$D$23</f>
        <v>215932.156591041</v>
      </c>
      <c r="R22" s="22" t="n">
        <f aca="false">(R19+R20)*Premissas!$D$23</f>
        <v>238949.407719117</v>
      </c>
      <c r="S22" s="22" t="n">
        <f aca="false">(S19+S20)*Premissas!$D$23</f>
        <v>263484.546086165</v>
      </c>
      <c r="T22" s="22" t="n">
        <f aca="false">(T19+T20)*Premissas!$D$23</f>
        <v>289680.383099005</v>
      </c>
      <c r="U22" s="22" t="n">
        <f aca="false">(U19+U20)*Premissas!$D$23</f>
        <v>317689.540195668</v>
      </c>
      <c r="V22" s="22" t="n">
        <f aca="false">(V19+V20)*Premissas!$D$23</f>
        <v>347675.366612921</v>
      </c>
      <c r="W22" s="22" t="n">
        <f aca="false">(W19+W20)*Premissas!$D$23</f>
        <v>379812.919103326</v>
      </c>
      <c r="X22" s="22" t="n">
        <f aca="false">(X19+X20)*Premissas!$D$23</f>
        <v>414290.009570439</v>
      </c>
      <c r="Y22" s="22" t="n">
        <f aca="false">(Y19+Y20)*Premissas!$D$23</f>
        <v>451308.326977942</v>
      </c>
      <c r="Z22" s="22" t="n">
        <f aca="false">(Z19+Z20)*Premissas!$D$23</f>
        <v>491084.640314696</v>
      </c>
      <c r="AA22" s="22" t="n">
        <f aca="false">(AA19+AA20)*Premissas!$D$23</f>
        <v>533852.089865364</v>
      </c>
      <c r="AB22" s="22" t="n">
        <f aca="false">(AB19+AB20)*Premissas!$D$23</f>
        <v>579861.574548111</v>
      </c>
      <c r="AC22" s="22" t="n">
        <f aca="false">(AC19+AC20)*Premissas!$D$23</f>
        <v>629383.243639688</v>
      </c>
      <c r="AD22" s="22" t="n">
        <f aca="false">(AD19+AD20)*Premissas!$D$23</f>
        <v>682708.101817377</v>
      </c>
      <c r="AE22" s="22" t="n">
        <f aca="false">(AE19+AE20)*Premissas!$D$23</f>
        <v>740149.737110165</v>
      </c>
      <c r="AF22" s="22" t="n">
        <f aca="false">(AF19+AF20)*Premissas!$D$23</f>
        <v>802046.182072074</v>
      </c>
      <c r="AG22" s="22" t="n">
        <f aca="false">(AG19+AG20)*Premissas!$D$23</f>
        <v>868761.919272962</v>
      </c>
      <c r="AH22" s="22" t="n">
        <f aca="false">(AH19+AH20)*Premissas!$D$23</f>
        <v>940690.043050909</v>
      </c>
      <c r="AI22" s="22" t="n">
        <f aca="false">(AI19+AI20)*Premissas!$D$23</f>
        <v>1018254.59039046</v>
      </c>
      <c r="AJ22" s="22" t="n">
        <f aca="false">(AJ19+AJ20)*Premissas!$D$23</f>
        <v>1101913.05478799</v>
      </c>
      <c r="AK22" s="22" t="n">
        <f aca="false">(AK19+AK20)*Premissas!$D$23</f>
        <v>1192159.09804489</v>
      </c>
      <c r="AL22" s="22" t="n">
        <f aca="false">(AL19+AL20)*Premissas!$D$23</f>
        <v>1289525.47609814</v>
      </c>
      <c r="AM22" s="22" t="n">
        <f aca="false">(AM19+AM20)*Premissas!$D$23</f>
        <v>1393625.90747784</v>
      </c>
      <c r="AN22" s="22" t="n">
        <f aca="false">(AN19+AN20)*Premissas!$D$23</f>
        <v>1496547.95994132</v>
      </c>
      <c r="AO22" s="22" t="n">
        <f aca="false">(AO19+AO20)*Premissas!$D$23</f>
        <v>1598406.39629358</v>
      </c>
      <c r="AP22" s="22" t="n">
        <f aca="false">(AP19+AP20)*Premissas!$D$23</f>
        <v>1694195.79326426</v>
      </c>
      <c r="AQ22" s="22" t="n">
        <f aca="false">(AQ19+AQ20)*Premissas!$D$23</f>
        <v>1784338.43560209</v>
      </c>
      <c r="AR22" s="22" t="n">
        <f aca="false">(AR19+AR20)*Premissas!$D$23</f>
        <v>1869223.55958026</v>
      </c>
      <c r="AS22" s="22" t="n">
        <f aca="false">(AS19+AS20)*Premissas!$D$23</f>
        <v>1949210.12907309</v>
      </c>
      <c r="AT22" s="22" t="n">
        <f aca="false">(AT19+AT20)*Premissas!$D$23</f>
        <v>2024629.36971737</v>
      </c>
      <c r="AU22" s="22" t="n">
        <f aca="false">(AU19+AU20)*Premissas!$D$23</f>
        <v>2095787.08261323</v>
      </c>
      <c r="AV22" s="22" t="n">
        <f aca="false">(AV19+AV20)*Premissas!$D$23</f>
        <v>2162965.75710164</v>
      </c>
      <c r="AW22" s="22" t="n">
        <f aca="false">(AW19+AW20)*Premissas!$D$23</f>
        <v>2226426.50040916</v>
      </c>
      <c r="AX22" s="22" t="n">
        <f aca="false">(AX19+AX20)*Premissas!$D$23</f>
        <v>2286410.80036113</v>
      </c>
      <c r="AY22" s="22" t="n">
        <f aca="false">(AY19+AY20)*Premissas!$D$23</f>
        <v>2343142.13591787</v>
      </c>
      <c r="AZ22" s="22" t="n">
        <f aca="false">(AZ19+AZ20)*Premissas!$D$23</f>
        <v>2396827.44897093</v>
      </c>
      <c r="BA22" s="22" t="n">
        <f aca="false">(BA19+BA20)*Premissas!$D$23</f>
        <v>2447658.4896378</v>
      </c>
      <c r="BB22" s="22" t="n">
        <f aca="false">(BB19+BB20)*Premissas!$D$23</f>
        <v>2495813.04620167</v>
      </c>
      <c r="BC22" s="22" t="n">
        <f aca="false">(BC19+BC20)*Premissas!$D$23</f>
        <v>2541456.06984955</v>
      </c>
      <c r="BD22" s="22" t="n">
        <f aca="false">(BD19+BD20)*Premissas!$D$23</f>
        <v>2584740.70345687</v>
      </c>
      <c r="BE22" s="22" t="n">
        <f aca="false">(BE19+BE20)*Premissas!$D$23</f>
        <v>2625809.22284379</v>
      </c>
      <c r="BF22" s="22" t="n">
        <f aca="false">(BF19+BF20)*Premissas!$D$23</f>
        <v>2664793.89817796</v>
      </c>
      <c r="BG22" s="22" t="n">
        <f aca="false">(BG19+BG20)*Premissas!$D$23</f>
        <v>2701817.78251645</v>
      </c>
      <c r="BH22" s="22" t="n">
        <f aca="false">(BH19+BH20)*Premissas!$D$23</f>
        <v>2736995.43385749</v>
      </c>
      <c r="BI22" s="22" t="n">
        <f aca="false">(BI19+BI20)*Premissas!$D$23</f>
        <v>2770433.57650715</v>
      </c>
      <c r="BJ22" s="22" t="n">
        <f aca="false">(BJ19+BJ20)*Premissas!$D$23</f>
        <v>2802231.70705046</v>
      </c>
      <c r="BK22" s="22" t="n">
        <f aca="false">(BK19+BK20)*Premissas!$D$23</f>
        <v>2832482.64974771</v>
      </c>
    </row>
    <row r="23" customFormat="false" ht="15" hidden="false" customHeight="false" outlineLevel="0" collapsed="false">
      <c r="A23" s="9" t="s">
        <v>162</v>
      </c>
      <c r="B23" s="19" t="s">
        <v>155</v>
      </c>
      <c r="C23" s="22" t="n">
        <v>0</v>
      </c>
      <c r="D23" s="22" t="n">
        <f aca="false">D13*Premissas!$D$24</f>
        <v>0</v>
      </c>
      <c r="E23" s="22" t="n">
        <f aca="false">E13*Premissas!$D$24</f>
        <v>0</v>
      </c>
      <c r="F23" s="22" t="n">
        <f aca="false">F13*Premissas!$D$24</f>
        <v>214.5</v>
      </c>
      <c r="G23" s="22" t="n">
        <f aca="false">G13*Premissas!$D$24</f>
        <v>437.58</v>
      </c>
      <c r="H23" s="22" t="n">
        <f aca="false">H13*Premissas!$D$24</f>
        <v>670.2696</v>
      </c>
      <c r="I23" s="22" t="n">
        <f aca="false">I13*Premissas!$D$24</f>
        <v>913.66704</v>
      </c>
      <c r="J23" s="22" t="n">
        <f aca="false">J13*Premissas!$D$24</f>
        <v>1168.94524032</v>
      </c>
      <c r="K23" s="22" t="n">
        <f aca="false">K13*Premissas!$D$24</f>
        <v>1437.3583031808</v>
      </c>
      <c r="L23" s="22" t="n">
        <f aca="false">L13*Premissas!$D$24</f>
        <v>1720.24851332506</v>
      </c>
      <c r="M23" s="22" t="n">
        <f aca="false">M13*Premissas!$D$24</f>
        <v>2019.05387844526</v>
      </c>
      <c r="N23" s="22" t="n">
        <f aca="false">N13*Premissas!$D$24</f>
        <v>2335.31625341291</v>
      </c>
      <c r="O23" s="22" t="n">
        <f aca="false">O13*Premissas!$D$24</f>
        <v>2670.6900957903</v>
      </c>
      <c r="P23" s="22" t="n">
        <f aca="false">P13*Premissas!$D$24</f>
        <v>3026.9519038737</v>
      </c>
      <c r="Q23" s="22" t="n">
        <f aca="false">Q13*Premissas!$D$24</f>
        <v>3406.01039258697</v>
      </c>
      <c r="R23" s="22" t="n">
        <f aca="false">R13*Premissas!$D$24</f>
        <v>3809.91746694116</v>
      </c>
      <c r="S23" s="22" t="n">
        <f aca="false">S13*Premissas!$D$24</f>
        <v>4240.8800575258</v>
      </c>
      <c r="T23" s="22" t="n">
        <f aca="false">T13*Premissas!$D$24</f>
        <v>4701.27288762803</v>
      </c>
      <c r="U23" s="22" t="n">
        <f aca="false">U13*Premissas!$D$24</f>
        <v>5193.65224711844</v>
      </c>
      <c r="V23" s="22" t="n">
        <f aca="false">V13*Premissas!$D$24</f>
        <v>5720.77085422887</v>
      </c>
      <c r="W23" s="22" t="n">
        <f aca="false">W13*Premissas!$D$24</f>
        <v>6285.5938928145</v>
      </c>
      <c r="X23" s="22" t="n">
        <f aca="false">X13*Premissas!$D$24</f>
        <v>6891.31631967709</v>
      </c>
      <c r="Y23" s="22" t="n">
        <f aca="false">Y13*Premissas!$D$24</f>
        <v>7541.38154407119</v>
      </c>
      <c r="Z23" s="22" t="n">
        <f aca="false">Z13*Premissas!$D$24</f>
        <v>8239.50158966402</v>
      </c>
      <c r="AA23" s="22" t="n">
        <f aca="false">AA13*Premissas!$D$24</f>
        <v>8989.67885802159</v>
      </c>
      <c r="AB23" s="22" t="n">
        <f aca="false">AB13*Premissas!$D$24</f>
        <v>9796.22962220038</v>
      </c>
      <c r="AC23" s="22" t="n">
        <f aca="false">AC13*Premissas!$D$24</f>
        <v>10663.809389292</v>
      </c>
      <c r="AD23" s="22" t="n">
        <f aca="false">AD13*Premissas!$D$24</f>
        <v>11597.4402818583</v>
      </c>
      <c r="AE23" s="22" t="n">
        <f aca="false">AE13*Premissas!$D$24</f>
        <v>12602.540600173</v>
      </c>
      <c r="AF23" s="22" t="n">
        <f aca="false">AF13*Premissas!$D$24</f>
        <v>13684.9567401223</v>
      </c>
      <c r="AG23" s="22" t="n">
        <f aca="false">AG13*Premissas!$D$24</f>
        <v>14850.9976555901</v>
      </c>
      <c r="AH23" s="22" t="n">
        <f aca="false">AH13*Premissas!$D$24</f>
        <v>16107.4720692449</v>
      </c>
      <c r="AI23" s="22" t="n">
        <f aca="false">AI13*Premissas!$D$24</f>
        <v>17461.7286519439</v>
      </c>
      <c r="AJ23" s="22" t="n">
        <f aca="false">AJ13*Premissas!$D$24</f>
        <v>18921.6994085724</v>
      </c>
      <c r="AK23" s="22" t="n">
        <f aca="false">AK13*Premissas!$D$24</f>
        <v>20495.9465271522</v>
      </c>
      <c r="AL23" s="22" t="n">
        <f aca="false">AL13*Premissas!$D$24</f>
        <v>22193.7129685827</v>
      </c>
      <c r="AM23" s="22" t="n">
        <f aca="false">AM13*Premissas!$D$24</f>
        <v>24024.9770965573</v>
      </c>
      <c r="AN23" s="22" t="n">
        <f aca="false">AN13*Premissas!$D$24</f>
        <v>26000.5116711504</v>
      </c>
      <c r="AO23" s="22" t="n">
        <f aca="false">AO13*Premissas!$D$24</f>
        <v>28106.4912043044</v>
      </c>
      <c r="AP23" s="22" t="n">
        <f aca="false">AP13*Premissas!$D$24</f>
        <v>30128.2315561322</v>
      </c>
      <c r="AQ23" s="22" t="n">
        <f aca="false">AQ13*Premissas!$D$24</f>
        <v>32069.1022938869</v>
      </c>
      <c r="AR23" s="22" t="n">
        <f aca="false">AR13*Premissas!$D$24</f>
        <v>33932.3382021314</v>
      </c>
      <c r="AS23" s="22" t="n">
        <f aca="false">AS13*Premissas!$D$24</f>
        <v>35721.0446740462</v>
      </c>
      <c r="AT23" s="22" t="n">
        <f aca="false">AT13*Premissas!$D$24</f>
        <v>37438.2028870843</v>
      </c>
      <c r="AU23" s="22" t="n">
        <f aca="false">AU13*Premissas!$D$24</f>
        <v>39086.6747716009</v>
      </c>
      <c r="AV23" s="22" t="n">
        <f aca="false">AV13*Premissas!$D$24</f>
        <v>40669.2077807369</v>
      </c>
      <c r="AW23" s="22" t="n">
        <f aca="false">AW13*Premissas!$D$24</f>
        <v>42188.4394695074</v>
      </c>
      <c r="AX23" s="22" t="n">
        <f aca="false">AX13*Premissas!$D$24</f>
        <v>43646.9018907271</v>
      </c>
      <c r="AY23" s="22" t="n">
        <f aca="false">AY13*Premissas!$D$24</f>
        <v>45047.025815098</v>
      </c>
      <c r="AZ23" s="22" t="n">
        <f aca="false">AZ13*Premissas!$D$24</f>
        <v>46391.1447824941</v>
      </c>
      <c r="BA23" s="22" t="n">
        <f aca="false">BA13*Premissas!$D$24</f>
        <v>47681.4989911944</v>
      </c>
      <c r="BB23" s="22" t="n">
        <f aca="false">BB13*Premissas!$D$24</f>
        <v>48920.2390315466</v>
      </c>
      <c r="BC23" s="22" t="n">
        <f aca="false">BC13*Premissas!$D$24</f>
        <v>50109.4294702847</v>
      </c>
      <c r="BD23" s="22" t="n">
        <f aca="false">BD13*Premissas!$D$24</f>
        <v>51251.0522914733</v>
      </c>
      <c r="BE23" s="22" t="n">
        <f aca="false">BE13*Premissas!$D$24</f>
        <v>52347.0101998144</v>
      </c>
      <c r="BF23" s="22" t="n">
        <f aca="false">BF13*Premissas!$D$24</f>
        <v>53399.1297918218</v>
      </c>
      <c r="BG23" s="22" t="n">
        <f aca="false">BG13*Premissas!$D$24</f>
        <v>54409.1646001489</v>
      </c>
      <c r="BH23" s="22" t="n">
        <f aca="false">BH13*Premissas!$D$24</f>
        <v>55378.798016143</v>
      </c>
      <c r="BI23" s="22" t="n">
        <f aca="false">BI13*Premissas!$D$24</f>
        <v>56309.6460954973</v>
      </c>
      <c r="BJ23" s="22" t="n">
        <f aca="false">BJ13*Premissas!$D$24</f>
        <v>57203.2602516774</v>
      </c>
      <c r="BK23" s="22" t="n">
        <f aca="false">BK13*Premissas!$D$24</f>
        <v>58061.1298416103</v>
      </c>
    </row>
    <row r="24" customFormat="false" ht="15" hidden="false" customHeight="false" outlineLevel="0" collapsed="false">
      <c r="A24" s="13" t="s">
        <v>163</v>
      </c>
      <c r="B24" s="19" t="s">
        <v>155</v>
      </c>
      <c r="C24" s="23" t="n">
        <v>0</v>
      </c>
      <c r="D24" s="23" t="n">
        <f aca="false">D17+D18+D21+D22+D23</f>
        <v>15300</v>
      </c>
      <c r="E24" s="23" t="n">
        <f aca="false">E17+E18+E21+E22+E23</f>
        <v>30447</v>
      </c>
      <c r="F24" s="23" t="n">
        <f aca="false">F17+F18+F21+F22+F23</f>
        <v>60773.94</v>
      </c>
      <c r="G24" s="23" t="n">
        <f aca="false">G17+G18+G21+G22+G23</f>
        <v>91862.0415</v>
      </c>
      <c r="H24" s="23" t="n">
        <f aca="false">H17+H18+H21+H22+H23</f>
        <v>123888.238353</v>
      </c>
      <c r="I24" s="23" t="n">
        <f aca="false">I17+I18+I21+I22+I23</f>
        <v>157034.52777627</v>
      </c>
      <c r="J24" s="23" t="n">
        <f aca="false">J17+J18+J21+J22+J23</f>
        <v>191489.139547849</v>
      </c>
      <c r="K24" s="23" t="n">
        <f aca="false">K17+K18+K21+K22+K23</f>
        <v>227447.732131045</v>
      </c>
      <c r="L24" s="23" t="n">
        <f aca="false">L17+L18+L21+L22+L23</f>
        <v>265114.623789324</v>
      </c>
      <c r="M24" s="23" t="n">
        <f aca="false">M17+M18+M21+M22+M23</f>
        <v>304704.066870687</v>
      </c>
      <c r="N24" s="23" t="n">
        <f aca="false">N17+N18+N21+N22+N23</f>
        <v>346441.573614111</v>
      </c>
      <c r="O24" s="23" t="n">
        <f aca="false">O17+O18+O21+O22+O23</f>
        <v>390565.302061096</v>
      </c>
      <c r="P24" s="23" t="n">
        <f aca="false">P17+P18+P21+P22+P23</f>
        <v>437327.510943578</v>
      </c>
      <c r="Q24" s="23" t="n">
        <f aca="false">Q17+Q18+Q21+Q22+Q23</f>
        <v>486996.092766423</v>
      </c>
      <c r="R24" s="23" t="n">
        <f aca="false">R17+R18+R21+R22+R23</f>
        <v>539856.194710008</v>
      </c>
      <c r="S24" s="23" t="n">
        <f aca="false">S17+S18+S21+S22+S23</f>
        <v>596211.937447842</v>
      </c>
      <c r="T24" s="23" t="n">
        <f aca="false">T17+T18+T21+T22+T23</f>
        <v>656388.242508147</v>
      </c>
      <c r="U24" s="23" t="n">
        <f aca="false">U17+U18+U21+U22+U23</f>
        <v>720732.779409491</v>
      </c>
      <c r="V24" s="23" t="n">
        <f aca="false">V17+V18+V21+V22+V23</f>
        <v>789618.04447222</v>
      </c>
      <c r="W24" s="23" t="n">
        <f aca="false">W17+W18+W21+W22+W23</f>
        <v>863443.583953033</v>
      </c>
      <c r="X24" s="23" t="n">
        <f aca="false">X17+X18+X21+X22+X23</f>
        <v>942638.374973925</v>
      </c>
      <c r="Y24" s="23" t="n">
        <f aca="false">Y17+Y18+Y21+Y22+Y23</f>
        <v>1027663.37862317</v>
      </c>
      <c r="Z24" s="23" t="n">
        <f aca="false">Z17+Z18+Z21+Z22+Z23</f>
        <v>1119014.28060047</v>
      </c>
      <c r="AA24" s="23" t="n">
        <f aca="false">AA17+AA18+AA21+AA22+AA23</f>
        <v>1217224.43586622</v>
      </c>
      <c r="AB24" s="23" t="n">
        <f aca="false">AB17+AB18+AB21+AB22+AB23</f>
        <v>1322868.03494251</v>
      </c>
      <c r="AC24" s="23" t="n">
        <f aca="false">AC17+AC18+AC21+AC22+AC23</f>
        <v>1436563.51080741</v>
      </c>
      <c r="AD24" s="23" t="n">
        <f aca="false">AD17+AD18+AD21+AD22+AD23</f>
        <v>1558977.20673275</v>
      </c>
      <c r="AE24" s="23" t="n">
        <f aca="false">AE17+AE18+AE21+AE22+AE23</f>
        <v>1690827.32694544</v>
      </c>
      <c r="AF24" s="23" t="n">
        <f aca="false">AF17+AF18+AF21+AF22+AF23</f>
        <v>1832888.19365454</v>
      </c>
      <c r="AG24" s="23" t="n">
        <f aca="false">AG17+AG18+AG21+AG22+AG23</f>
        <v>1985994.83578819</v>
      </c>
      <c r="AH24" s="23" t="n">
        <f aca="false">AH17+AH18+AH21+AH22+AH23</f>
        <v>2151047.93673896</v>
      </c>
      <c r="AI24" s="23" t="n">
        <f aca="false">AI17+AI18+AI21+AI22+AI23</f>
        <v>2329019.17053227</v>
      </c>
      <c r="AJ24" s="23" t="n">
        <f aca="false">AJ17+AJ18+AJ21+AJ22+AJ23</f>
        <v>2520956.95812517</v>
      </c>
      <c r="AK24" s="23" t="n">
        <f aca="false">AK17+AK18+AK21+AK22+AK23</f>
        <v>2727992.67802325</v>
      </c>
      <c r="AL24" s="23" t="n">
        <f aca="false">AL17+AL18+AL21+AL22+AL23</f>
        <v>2951347.368088</v>
      </c>
      <c r="AM24" s="23" t="n">
        <f aca="false">AM17+AM18+AM21+AM22+AM23</f>
        <v>3190523.19060723</v>
      </c>
      <c r="AN24" s="23" t="n">
        <f aca="false">AN17+AN18+AN21+AN22+AN23</f>
        <v>3430824.6997369</v>
      </c>
      <c r="AO24" s="23" t="n">
        <f aca="false">AO17+AO18+AO21+AO22+AO23</f>
        <v>3672147.49294171</v>
      </c>
      <c r="AP24" s="23" t="n">
        <f aca="false">AP17+AP18+AP21+AP22+AP23</f>
        <v>3900049.60411084</v>
      </c>
      <c r="AQ24" s="23" t="n">
        <f aca="false">AQ17+AQ18+AQ21+AQ22+AQ23</f>
        <v>4115406.95985339</v>
      </c>
      <c r="AR24" s="23" t="n">
        <f aca="false">AR17+AR18+AR21+AR22+AR23</f>
        <v>4319029.93077461</v>
      </c>
      <c r="AS24" s="23" t="n">
        <f aca="false">AS17+AS18+AS21+AS22+AS23</f>
        <v>4511668.70042061</v>
      </c>
      <c r="AT24" s="23" t="n">
        <f aca="false">AT17+AT18+AT21+AT22+AT23</f>
        <v>4694018.17226183</v>
      </c>
      <c r="AU24" s="23" t="n">
        <f aca="false">AU17+AU18+AU21+AU22+AU23</f>
        <v>4866722.45544218</v>
      </c>
      <c r="AV24" s="23" t="n">
        <f aca="false">AV17+AV18+AV21+AV22+AV23</f>
        <v>5030378.96638894</v>
      </c>
      <c r="AW24" s="23" t="n">
        <f aca="false">AW17+AW18+AW21+AW22+AW23</f>
        <v>5185542.18007303</v>
      </c>
      <c r="AX24" s="23" t="n">
        <f aca="false">AX17+AX18+AX21+AX22+AX23</f>
        <v>5332727.06169919</v>
      </c>
      <c r="AY24" s="23" t="n">
        <f aca="false">AY17+AY18+AY21+AY22+AY23</f>
        <v>5472412.20686569</v>
      </c>
      <c r="AZ24" s="23" t="n">
        <f aca="false">AZ17+AZ18+AZ21+AZ22+AZ23</f>
        <v>5605042.71573842</v>
      </c>
      <c r="BA24" s="23" t="n">
        <f aca="false">BA17+BA18+BA21+BA22+BA23</f>
        <v>5731032.82451298</v>
      </c>
      <c r="BB24" s="23" t="n">
        <f aca="false">BB17+BB18+BB21+BB22+BB23</f>
        <v>5850768.3153702</v>
      </c>
      <c r="BC24" s="23" t="n">
        <f aca="false">BC17+BC18+BC21+BC22+BC23</f>
        <v>5964608.72424772</v>
      </c>
      <c r="BD24" s="23" t="n">
        <f aca="false">BD17+BD18+BD21+BD22+BD23</f>
        <v>6072889.36403584</v>
      </c>
      <c r="BE24" s="23" t="n">
        <f aca="false">BE17+BE18+BE21+BE22+BE23</f>
        <v>6175923.17924421</v>
      </c>
      <c r="BF24" s="23" t="n">
        <f aca="false">BF17+BF18+BF21+BF22+BF23</f>
        <v>6274002.44676496</v>
      </c>
      <c r="BG24" s="23" t="n">
        <f aca="false">BG17+BG18+BG21+BG22+BG23</f>
        <v>6367400.33606273</v>
      </c>
      <c r="BH24" s="23" t="n">
        <f aca="false">BH17+BH18+BH21+BH22+BH23</f>
        <v>6456372.34094344</v>
      </c>
      <c r="BI24" s="23" t="n">
        <f aca="false">BI17+BI18+BI21+BI22+BI23</f>
        <v>6541157.59397984</v>
      </c>
      <c r="BJ24" s="23" t="n">
        <f aca="false">BJ17+BJ18+BJ21+BJ22+BJ23</f>
        <v>6621980.0736941</v>
      </c>
      <c r="BK24" s="23" t="n">
        <f aca="false">BK17+BK18+BK21+BK22+BK23</f>
        <v>6699049.71370718</v>
      </c>
    </row>
    <row r="26" customFormat="false" ht="15" hidden="false" customHeight="false" outlineLevel="0" collapsed="false">
      <c r="A26" s="12" t="s">
        <v>164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</row>
    <row r="27" customFormat="false" ht="15" hidden="false" customHeight="false" outlineLevel="0" collapsed="false">
      <c r="A27" s="9" t="s">
        <v>165</v>
      </c>
      <c r="B27" s="19" t="s">
        <v>155</v>
      </c>
      <c r="C27" s="22" t="n">
        <v>0</v>
      </c>
      <c r="D27" s="22" t="n">
        <f aca="false">D14*Premissas!$D$28</f>
        <v>4050</v>
      </c>
      <c r="E27" s="22" t="n">
        <f aca="false">E14*Premissas!$D$28</f>
        <v>8059.5</v>
      </c>
      <c r="F27" s="22" t="n">
        <f aca="false">F14*Premissas!$D$28</f>
        <v>12058.065</v>
      </c>
      <c r="G27" s="22" t="n">
        <f aca="false">G14*Premissas!$D$28</f>
        <v>16096.94775</v>
      </c>
      <c r="H27" s="22" t="n">
        <f aca="false">H14*Premissas!$D$28</f>
        <v>20203.6437405</v>
      </c>
      <c r="I27" s="22" t="n">
        <f aca="false">I14*Premissas!$D$28</f>
        <v>24405.699434895</v>
      </c>
      <c r="J27" s="22" t="n">
        <f aca="false">J14*Premissas!$D$28</f>
        <v>28730.9083016777</v>
      </c>
      <c r="K27" s="22" t="n">
        <f aca="false">K14*Premissas!$D$28</f>
        <v>33207.5053103477</v>
      </c>
      <c r="L27" s="22" t="n">
        <f aca="false">L14*Premissas!$D$28</f>
        <v>37864.3613155422</v>
      </c>
      <c r="M27" s="22" t="n">
        <f aca="false">M14*Premissas!$D$28</f>
        <v>42731.1787286847</v>
      </c>
      <c r="N27" s="22" t="n">
        <f aca="false">N14*Premissas!$D$28</f>
        <v>47838.6898617426</v>
      </c>
      <c r="O27" s="22" t="n">
        <f aca="false">O14*Premissas!$D$28</f>
        <v>53218.8593231883</v>
      </c>
      <c r="P27" s="22" t="n">
        <f aca="false">P14*Premissas!$D$28</f>
        <v>58905.091851781</v>
      </c>
      <c r="Q27" s="22" t="n">
        <f aca="false">Q14*Premissas!$D$28</f>
        <v>64932.4469891815</v>
      </c>
      <c r="R27" s="22" t="n">
        <f aca="false">R14*Premissas!$D$28</f>
        <v>71337.8620176289</v>
      </c>
      <c r="S27" s="22" t="n">
        <f aca="false">S14*Premissas!$D$28</f>
        <v>78160.3846239584</v>
      </c>
      <c r="T27" s="22" t="n">
        <f aca="false">T14*Premissas!$D$28</f>
        <v>85441.4167962023</v>
      </c>
      <c r="U27" s="22" t="n">
        <f aca="false">U14*Premissas!$D$28</f>
        <v>93224.971514049</v>
      </c>
      <c r="V27" s="22" t="n">
        <f aca="false">V14*Premissas!$D$28</f>
        <v>101557.943859761</v>
      </c>
      <c r="W27" s="22" t="n">
        <f aca="false">W14*Premissas!$D$28</f>
        <v>110490.398252064</v>
      </c>
      <c r="X27" s="22" t="n">
        <f aca="false">X14*Premissas!$D$28</f>
        <v>120075.873592376</v>
      </c>
      <c r="Y27" s="22" t="n">
        <f aca="false">Y14*Premissas!$D$28</f>
        <v>130371.708210995</v>
      </c>
      <c r="Z27" s="22" t="n">
        <f aca="false">Z14*Premissas!$D$28</f>
        <v>141439.386611016</v>
      </c>
      <c r="AA27" s="22" t="n">
        <f aca="false">AA14*Premissas!$D$28</f>
        <v>153344.910130371</v>
      </c>
      <c r="AB27" s="22" t="n">
        <f aca="false">AB14*Premissas!$D$28</f>
        <v>166159.193778178</v>
      </c>
      <c r="AC27" s="22" t="n">
        <f aca="false">AC14*Premissas!$D$28</f>
        <v>179958.491651289</v>
      </c>
      <c r="AD27" s="22" t="n">
        <f aca="false">AD14*Premissas!$D$28</f>
        <v>194824.853501363</v>
      </c>
      <c r="AE27" s="22" t="n">
        <f aca="false">AE14*Premissas!$D$28</f>
        <v>210846.615202896</v>
      </c>
      <c r="AF27" s="22" t="n">
        <f aca="false">AF14*Premissas!$D$28</f>
        <v>228118.926069492</v>
      </c>
      <c r="AG27" s="22" t="n">
        <f aca="false">AG14*Premissas!$D$28</f>
        <v>246744.316180276</v>
      </c>
      <c r="AH27" s="22" t="n">
        <f aca="false">AH14*Premissas!$D$28</f>
        <v>266833.30711211</v>
      </c>
      <c r="AI27" s="22" t="n">
        <f aca="false">AI14*Premissas!$D$28</f>
        <v>288505.069727403</v>
      </c>
      <c r="AJ27" s="22" t="n">
        <f aca="false">AJ14*Premissas!$D$28</f>
        <v>311888.132943378</v>
      </c>
      <c r="AK27" s="22" t="n">
        <f aca="false">AK14*Premissas!$D$28</f>
        <v>337121.147708233</v>
      </c>
      <c r="AL27" s="22" t="n">
        <f aca="false">AL14*Premissas!$D$28</f>
        <v>364353.710734476</v>
      </c>
      <c r="AM27" s="22" t="n">
        <f aca="false">AM14*Premissas!$D$28</f>
        <v>393266.608499726</v>
      </c>
      <c r="AN27" s="22" t="n">
        <f aca="false">AN14*Premissas!$D$28</f>
        <v>419767.51520247</v>
      </c>
      <c r="AO27" s="22" t="n">
        <f aca="false">AO14*Premissas!$D$28</f>
        <v>444088.491969329</v>
      </c>
      <c r="AP27" s="22" t="n">
        <f aca="false">AP14*Premissas!$D$28</f>
        <v>466439.278701767</v>
      </c>
      <c r="AQ27" s="22" t="n">
        <f aca="false">AQ14*Premissas!$D$28</f>
        <v>486988.444587898</v>
      </c>
      <c r="AR27" s="22" t="n">
        <f aca="false">AR14*Premissas!$D$28</f>
        <v>505889.737505507</v>
      </c>
      <c r="AS27" s="22" t="n">
        <f aca="false">AS14*Premissas!$D$28</f>
        <v>523283.403943309</v>
      </c>
      <c r="AT27" s="22" t="n">
        <f aca="false">AT14*Premissas!$D$28</f>
        <v>539297.390689178</v>
      </c>
      <c r="AU27" s="22" t="n">
        <f aca="false">AU14*Premissas!$D$28</f>
        <v>554048.438903888</v>
      </c>
      <c r="AV27" s="22" t="n">
        <f aca="false">AV14*Premissas!$D$28</f>
        <v>567643.080244204</v>
      </c>
      <c r="AW27" s="22" t="n">
        <f aca="false">AW14*Premissas!$D$28</f>
        <v>580178.543830225</v>
      </c>
      <c r="AX27" s="22" t="n">
        <f aca="false">AX14*Premissas!$D$28</f>
        <v>591743.582061185</v>
      </c>
      <c r="AY27" s="22" t="n">
        <f aca="false">AY14*Premissas!$D$28</f>
        <v>602419.22256433</v>
      </c>
      <c r="AZ27" s="22" t="n">
        <f aca="false">AZ14*Premissas!$D$28</f>
        <v>612279.452906647</v>
      </c>
      <c r="BA27" s="22" t="n">
        <f aca="false">BA14*Premissas!$D$28</f>
        <v>621391.844103231</v>
      </c>
      <c r="BB27" s="22" t="n">
        <f aca="false">BB14*Premissas!$D$28</f>
        <v>629818.118413795</v>
      </c>
      <c r="BC27" s="22" t="n">
        <f aca="false">BC14*Premissas!$D$28</f>
        <v>637614.666425214</v>
      </c>
      <c r="BD27" s="22" t="n">
        <f aca="false">BD14*Premissas!$D$28</f>
        <v>644833.017968859</v>
      </c>
      <c r="BE27" s="22" t="n">
        <f aca="false">BE14*Premissas!$D$28</f>
        <v>651520.271012699</v>
      </c>
      <c r="BF27" s="22" t="n">
        <f aca="false">BF14*Premissas!$D$28</f>
        <v>657719.482296152</v>
      </c>
      <c r="BG27" s="22" t="n">
        <f aca="false">BG14*Premissas!$D$28</f>
        <v>663470.023137111</v>
      </c>
      <c r="BH27" s="22" t="n">
        <f aca="false">BH14*Premissas!$D$28</f>
        <v>668807.903532479</v>
      </c>
      <c r="BI27" s="22" t="n">
        <f aca="false">BI14*Premissas!$D$28</f>
        <v>673766.067393155</v>
      </c>
      <c r="BJ27" s="22" t="n">
        <f aca="false">BJ14*Premissas!$D$28</f>
        <v>678374.661499227</v>
      </c>
      <c r="BK27" s="22" t="n">
        <f aca="false">BK14*Premissas!$D$28</f>
        <v>682661.280528894</v>
      </c>
    </row>
    <row r="28" customFormat="false" ht="15" hidden="false" customHeight="false" outlineLevel="0" collapsed="false">
      <c r="A28" s="9" t="s">
        <v>166</v>
      </c>
      <c r="B28" s="19" t="s">
        <v>155</v>
      </c>
      <c r="C28" s="22" t="n">
        <v>0</v>
      </c>
      <c r="D28" s="22" t="n">
        <f aca="false">ROUNDUP(D13/Premissas!$D$29,0)*Premissas!$D$30</f>
        <v>0</v>
      </c>
      <c r="E28" s="22" t="n">
        <f aca="false">ROUNDUP(E13/Premissas!$D$29,0)*Premissas!$D$30</f>
        <v>0</v>
      </c>
      <c r="F28" s="22" t="n">
        <f aca="false">ROUNDUP(F13/Premissas!$D$29,0)*Premissas!$D$30</f>
        <v>9000</v>
      </c>
      <c r="G28" s="22" t="n">
        <f aca="false">ROUNDUP(G13/Premissas!$D$29,0)*Premissas!$D$30</f>
        <v>9000</v>
      </c>
      <c r="H28" s="22" t="n">
        <f aca="false">ROUNDUP(H13/Premissas!$D$29,0)*Premissas!$D$30</f>
        <v>9000</v>
      </c>
      <c r="I28" s="22" t="n">
        <f aca="false">ROUNDUP(I13/Premissas!$D$29,0)*Premissas!$D$30</f>
        <v>9000</v>
      </c>
      <c r="J28" s="22" t="n">
        <f aca="false">ROUNDUP(J13/Premissas!$D$29,0)*Premissas!$D$30</f>
        <v>9000</v>
      </c>
      <c r="K28" s="22" t="n">
        <f aca="false">ROUNDUP(K13/Premissas!$D$29,0)*Premissas!$D$30</f>
        <v>9000</v>
      </c>
      <c r="L28" s="22" t="n">
        <f aca="false">ROUNDUP(L13/Premissas!$D$29,0)*Premissas!$D$30</f>
        <v>9000</v>
      </c>
      <c r="M28" s="22" t="n">
        <f aca="false">ROUNDUP(M13/Premissas!$D$29,0)*Premissas!$D$30</f>
        <v>9000</v>
      </c>
      <c r="N28" s="22" t="n">
        <f aca="false">ROUNDUP(N13/Premissas!$D$29,0)*Premissas!$D$30</f>
        <v>9000</v>
      </c>
      <c r="O28" s="22" t="n">
        <f aca="false">ROUNDUP(O13/Premissas!$D$29,0)*Premissas!$D$30</f>
        <v>9000</v>
      </c>
      <c r="P28" s="22" t="n">
        <f aca="false">ROUNDUP(P13/Premissas!$D$29,0)*Premissas!$D$30</f>
        <v>9000</v>
      </c>
      <c r="Q28" s="22" t="n">
        <f aca="false">ROUNDUP(Q13/Premissas!$D$29,0)*Premissas!$D$30</f>
        <v>9000</v>
      </c>
      <c r="R28" s="22" t="n">
        <f aca="false">ROUNDUP(R13/Premissas!$D$29,0)*Premissas!$D$30</f>
        <v>9000</v>
      </c>
      <c r="S28" s="22" t="n">
        <f aca="false">ROUNDUP(S13/Premissas!$D$29,0)*Premissas!$D$30</f>
        <v>9000</v>
      </c>
      <c r="T28" s="22" t="n">
        <f aca="false">ROUNDUP(T13/Premissas!$D$29,0)*Premissas!$D$30</f>
        <v>9000</v>
      </c>
      <c r="U28" s="22" t="n">
        <f aca="false">ROUNDUP(U13/Premissas!$D$29,0)*Premissas!$D$30</f>
        <v>9000</v>
      </c>
      <c r="V28" s="22" t="n">
        <f aca="false">ROUNDUP(V13/Premissas!$D$29,0)*Premissas!$D$30</f>
        <v>9000</v>
      </c>
      <c r="W28" s="22" t="n">
        <f aca="false">ROUNDUP(W13/Premissas!$D$29,0)*Premissas!$D$30</f>
        <v>18000</v>
      </c>
      <c r="X28" s="22" t="n">
        <f aca="false">ROUNDUP(X13/Premissas!$D$29,0)*Premissas!$D$30</f>
        <v>18000</v>
      </c>
      <c r="Y28" s="22" t="n">
        <f aca="false">ROUNDUP(Y13/Premissas!$D$29,0)*Premissas!$D$30</f>
        <v>18000</v>
      </c>
      <c r="Z28" s="22" t="n">
        <f aca="false">ROUNDUP(Z13/Premissas!$D$29,0)*Premissas!$D$30</f>
        <v>18000</v>
      </c>
      <c r="AA28" s="22" t="n">
        <f aca="false">ROUNDUP(AA13/Premissas!$D$29,0)*Premissas!$D$30</f>
        <v>18000</v>
      </c>
      <c r="AB28" s="22" t="n">
        <f aca="false">ROUNDUP(AB13/Premissas!$D$29,0)*Premissas!$D$30</f>
        <v>18000</v>
      </c>
      <c r="AC28" s="22" t="n">
        <f aca="false">ROUNDUP(AC13/Premissas!$D$29,0)*Premissas!$D$30</f>
        <v>18000</v>
      </c>
      <c r="AD28" s="22" t="n">
        <f aca="false">ROUNDUP(AD13/Premissas!$D$29,0)*Premissas!$D$30</f>
        <v>18000</v>
      </c>
      <c r="AE28" s="22" t="n">
        <f aca="false">ROUNDUP(AE13/Premissas!$D$29,0)*Premissas!$D$30</f>
        <v>27000</v>
      </c>
      <c r="AF28" s="22" t="n">
        <f aca="false">ROUNDUP(AF13/Premissas!$D$29,0)*Premissas!$D$30</f>
        <v>27000</v>
      </c>
      <c r="AG28" s="22" t="n">
        <f aca="false">ROUNDUP(AG13/Premissas!$D$29,0)*Premissas!$D$30</f>
        <v>27000</v>
      </c>
      <c r="AH28" s="22" t="n">
        <f aca="false">ROUNDUP(AH13/Premissas!$D$29,0)*Premissas!$D$30</f>
        <v>27000</v>
      </c>
      <c r="AI28" s="22" t="n">
        <f aca="false">ROUNDUP(AI13/Premissas!$D$29,0)*Premissas!$D$30</f>
        <v>27000</v>
      </c>
      <c r="AJ28" s="22" t="n">
        <f aca="false">ROUNDUP(AJ13/Premissas!$D$29,0)*Premissas!$D$30</f>
        <v>36000</v>
      </c>
      <c r="AK28" s="22" t="n">
        <f aca="false">ROUNDUP(AK13/Premissas!$D$29,0)*Premissas!$D$30</f>
        <v>36000</v>
      </c>
      <c r="AL28" s="22" t="n">
        <f aca="false">ROUNDUP(AL13/Premissas!$D$29,0)*Premissas!$D$30</f>
        <v>36000</v>
      </c>
      <c r="AM28" s="22" t="n">
        <f aca="false">ROUNDUP(AM13/Premissas!$D$29,0)*Premissas!$D$30</f>
        <v>45000</v>
      </c>
      <c r="AN28" s="22" t="n">
        <f aca="false">ROUNDUP(AN13/Premissas!$D$29,0)*Premissas!$D$30</f>
        <v>45000</v>
      </c>
      <c r="AO28" s="22" t="n">
        <f aca="false">ROUNDUP(AO13/Premissas!$D$29,0)*Premissas!$D$30</f>
        <v>45000</v>
      </c>
      <c r="AP28" s="22" t="n">
        <f aca="false">ROUNDUP(AP13/Premissas!$D$29,0)*Premissas!$D$30</f>
        <v>54000</v>
      </c>
      <c r="AQ28" s="22" t="n">
        <f aca="false">ROUNDUP(AQ13/Premissas!$D$29,0)*Premissas!$D$30</f>
        <v>54000</v>
      </c>
      <c r="AR28" s="22" t="n">
        <f aca="false">ROUNDUP(AR13/Premissas!$D$29,0)*Premissas!$D$30</f>
        <v>54000</v>
      </c>
      <c r="AS28" s="22" t="n">
        <f aca="false">ROUNDUP(AS13/Premissas!$D$29,0)*Premissas!$D$30</f>
        <v>63000</v>
      </c>
      <c r="AT28" s="22" t="n">
        <f aca="false">ROUNDUP(AT13/Premissas!$D$29,0)*Premissas!$D$30</f>
        <v>63000</v>
      </c>
      <c r="AU28" s="22" t="n">
        <f aca="false">ROUNDUP(AU13/Premissas!$D$29,0)*Premissas!$D$30</f>
        <v>63000</v>
      </c>
      <c r="AV28" s="22" t="n">
        <f aca="false">ROUNDUP(AV13/Premissas!$D$29,0)*Premissas!$D$30</f>
        <v>63000</v>
      </c>
      <c r="AW28" s="22" t="n">
        <f aca="false">ROUNDUP(AW13/Premissas!$D$29,0)*Premissas!$D$30</f>
        <v>72000</v>
      </c>
      <c r="AX28" s="22" t="n">
        <f aca="false">ROUNDUP(AX13/Premissas!$D$29,0)*Premissas!$D$30</f>
        <v>72000</v>
      </c>
      <c r="AY28" s="22" t="n">
        <f aca="false">ROUNDUP(AY13/Premissas!$D$29,0)*Premissas!$D$30</f>
        <v>72000</v>
      </c>
      <c r="AZ28" s="22" t="n">
        <f aca="false">ROUNDUP(AZ13/Premissas!$D$29,0)*Premissas!$D$30</f>
        <v>72000</v>
      </c>
      <c r="BA28" s="22" t="n">
        <f aca="false">ROUNDUP(BA13/Premissas!$D$29,0)*Premissas!$D$30</f>
        <v>81000</v>
      </c>
      <c r="BB28" s="22" t="n">
        <f aca="false">ROUNDUP(BB13/Premissas!$D$29,0)*Premissas!$D$30</f>
        <v>81000</v>
      </c>
      <c r="BC28" s="22" t="n">
        <f aca="false">ROUNDUP(BC13/Premissas!$D$29,0)*Premissas!$D$30</f>
        <v>81000</v>
      </c>
      <c r="BD28" s="22" t="n">
        <f aca="false">ROUNDUP(BD13/Premissas!$D$29,0)*Premissas!$D$30</f>
        <v>81000</v>
      </c>
      <c r="BE28" s="22" t="n">
        <f aca="false">ROUNDUP(BE13/Premissas!$D$29,0)*Premissas!$D$30</f>
        <v>81000</v>
      </c>
      <c r="BF28" s="22" t="n">
        <f aca="false">ROUNDUP(BF13/Premissas!$D$29,0)*Premissas!$D$30</f>
        <v>90000</v>
      </c>
      <c r="BG28" s="22" t="n">
        <f aca="false">ROUNDUP(BG13/Premissas!$D$29,0)*Premissas!$D$30</f>
        <v>90000</v>
      </c>
      <c r="BH28" s="22" t="n">
        <f aca="false">ROUNDUP(BH13/Premissas!$D$29,0)*Premissas!$D$30</f>
        <v>90000</v>
      </c>
      <c r="BI28" s="22" t="n">
        <f aca="false">ROUNDUP(BI13/Premissas!$D$29,0)*Premissas!$D$30</f>
        <v>90000</v>
      </c>
      <c r="BJ28" s="22" t="n">
        <f aca="false">ROUNDUP(BJ13/Premissas!$D$29,0)*Premissas!$D$30</f>
        <v>90000</v>
      </c>
      <c r="BK28" s="22" t="n">
        <f aca="false">ROUNDUP(BK13/Premissas!$D$29,0)*Premissas!$D$30</f>
        <v>90000</v>
      </c>
    </row>
    <row r="29" customFormat="false" ht="15" hidden="false" customHeight="false" outlineLevel="0" collapsed="false">
      <c r="A29" s="9" t="s">
        <v>167</v>
      </c>
      <c r="B29" s="19" t="s">
        <v>155</v>
      </c>
      <c r="C29" s="22" t="n">
        <v>0</v>
      </c>
      <c r="D29" s="22" t="n">
        <f aca="false">D6*Premissas!$D$27</f>
        <v>19500</v>
      </c>
      <c r="E29" s="22" t="n">
        <f aca="false">E6*Premissas!$D$27</f>
        <v>21060</v>
      </c>
      <c r="F29" s="22" t="n">
        <f aca="false">F6*Premissas!$D$27</f>
        <v>22744.8</v>
      </c>
      <c r="G29" s="22" t="n">
        <f aca="false">G6*Premissas!$D$27</f>
        <v>24564.384</v>
      </c>
      <c r="H29" s="22" t="n">
        <f aca="false">H6*Premissas!$D$27</f>
        <v>26529.53472</v>
      </c>
      <c r="I29" s="22" t="n">
        <f aca="false">I6*Premissas!$D$27</f>
        <v>28651.8974976</v>
      </c>
      <c r="J29" s="22" t="n">
        <f aca="false">J6*Premissas!$D$27</f>
        <v>30944.049297408</v>
      </c>
      <c r="K29" s="22" t="n">
        <f aca="false">K6*Premissas!$D$27</f>
        <v>33419.5732412007</v>
      </c>
      <c r="L29" s="22" t="n">
        <f aca="false">L6*Premissas!$D$27</f>
        <v>36093.1391004967</v>
      </c>
      <c r="M29" s="22" t="n">
        <f aca="false">M6*Premissas!$D$27</f>
        <v>38980.5902285364</v>
      </c>
      <c r="N29" s="22" t="n">
        <f aca="false">N6*Premissas!$D$27</f>
        <v>42099.0374468194</v>
      </c>
      <c r="O29" s="22" t="n">
        <f aca="false">O6*Premissas!$D$27</f>
        <v>45466.9604425649</v>
      </c>
      <c r="P29" s="22" t="n">
        <f aca="false">P6*Premissas!$D$27</f>
        <v>49104.3172779701</v>
      </c>
      <c r="Q29" s="22" t="n">
        <f aca="false">Q6*Premissas!$D$27</f>
        <v>53032.6626602077</v>
      </c>
      <c r="R29" s="22" t="n">
        <f aca="false">R6*Premissas!$D$27</f>
        <v>57275.2756730243</v>
      </c>
      <c r="S29" s="22" t="n">
        <f aca="false">S6*Premissas!$D$27</f>
        <v>61857.2977268663</v>
      </c>
      <c r="T29" s="22" t="n">
        <f aca="false">T6*Premissas!$D$27</f>
        <v>66805.8815450156</v>
      </c>
      <c r="U29" s="22" t="n">
        <f aca="false">U6*Premissas!$D$27</f>
        <v>72150.3520686169</v>
      </c>
      <c r="V29" s="22" t="n">
        <f aca="false">V6*Premissas!$D$27</f>
        <v>77922.3802341062</v>
      </c>
      <c r="W29" s="22" t="n">
        <f aca="false">W6*Premissas!$D$27</f>
        <v>84156.1706528347</v>
      </c>
      <c r="X29" s="22" t="n">
        <f aca="false">X6*Premissas!$D$27</f>
        <v>90888.6643050615</v>
      </c>
      <c r="Y29" s="22" t="n">
        <f aca="false">Y6*Premissas!$D$27</f>
        <v>98159.7574494664</v>
      </c>
      <c r="Z29" s="22" t="n">
        <f aca="false">Z6*Premissas!$D$27</f>
        <v>106012.538045424</v>
      </c>
      <c r="AA29" s="22" t="n">
        <f aca="false">AA6*Premissas!$D$27</f>
        <v>114493.541089058</v>
      </c>
      <c r="AB29" s="22" t="n">
        <f aca="false">AB6*Premissas!$D$27</f>
        <v>123653.024376182</v>
      </c>
      <c r="AC29" s="22" t="n">
        <f aca="false">AC6*Premissas!$D$27</f>
        <v>133545.266326277</v>
      </c>
      <c r="AD29" s="22" t="n">
        <f aca="false">AD6*Premissas!$D$27</f>
        <v>144228.887632379</v>
      </c>
      <c r="AE29" s="22" t="n">
        <f aca="false">AE6*Premissas!$D$27</f>
        <v>155767.198642969</v>
      </c>
      <c r="AF29" s="22" t="n">
        <f aca="false">AF6*Premissas!$D$27</f>
        <v>168228.574534407</v>
      </c>
      <c r="AG29" s="22" t="n">
        <f aca="false">AG6*Premissas!$D$27</f>
        <v>181686.860497159</v>
      </c>
      <c r="AH29" s="22" t="n">
        <f aca="false">AH6*Premissas!$D$27</f>
        <v>196221.809336932</v>
      </c>
      <c r="AI29" s="22" t="n">
        <f aca="false">AI6*Premissas!$D$27</f>
        <v>211919.554083887</v>
      </c>
      <c r="AJ29" s="22" t="n">
        <f aca="false">AJ6*Premissas!$D$27</f>
        <v>228873.118410598</v>
      </c>
      <c r="AK29" s="22" t="n">
        <f aca="false">AK6*Premissas!$D$27</f>
        <v>247182.967883446</v>
      </c>
      <c r="AL29" s="22" t="n">
        <f aca="false">AL6*Premissas!$D$27</f>
        <v>266957.605314121</v>
      </c>
      <c r="AM29" s="22" t="n">
        <f aca="false">AM6*Premissas!$D$27</f>
        <v>286000</v>
      </c>
      <c r="AN29" s="22" t="n">
        <f aca="false">AN6*Premissas!$D$27</f>
        <v>286000</v>
      </c>
      <c r="AO29" s="22" t="n">
        <f aca="false">AO6*Premissas!$D$27</f>
        <v>286000</v>
      </c>
      <c r="AP29" s="22" t="n">
        <f aca="false">AP6*Premissas!$D$27</f>
        <v>286000</v>
      </c>
      <c r="AQ29" s="22" t="n">
        <f aca="false">AQ6*Premissas!$D$27</f>
        <v>286000</v>
      </c>
      <c r="AR29" s="22" t="n">
        <f aca="false">AR6*Premissas!$D$27</f>
        <v>286000</v>
      </c>
      <c r="AS29" s="22" t="n">
        <f aca="false">AS6*Premissas!$D$27</f>
        <v>286000</v>
      </c>
      <c r="AT29" s="22" t="n">
        <f aca="false">AT6*Premissas!$D$27</f>
        <v>286000</v>
      </c>
      <c r="AU29" s="22" t="n">
        <f aca="false">AU6*Premissas!$D$27</f>
        <v>286000</v>
      </c>
      <c r="AV29" s="22" t="n">
        <f aca="false">AV6*Premissas!$D$27</f>
        <v>286000</v>
      </c>
      <c r="AW29" s="22" t="n">
        <f aca="false">AW6*Premissas!$D$27</f>
        <v>286000</v>
      </c>
      <c r="AX29" s="22" t="n">
        <f aca="false">AX6*Premissas!$D$27</f>
        <v>286000</v>
      </c>
      <c r="AY29" s="22" t="n">
        <f aca="false">AY6*Premissas!$D$27</f>
        <v>286000</v>
      </c>
      <c r="AZ29" s="22" t="n">
        <f aca="false">AZ6*Premissas!$D$27</f>
        <v>286000</v>
      </c>
      <c r="BA29" s="22" t="n">
        <f aca="false">BA6*Premissas!$D$27</f>
        <v>286000</v>
      </c>
      <c r="BB29" s="22" t="n">
        <f aca="false">BB6*Premissas!$D$27</f>
        <v>286000</v>
      </c>
      <c r="BC29" s="22" t="n">
        <f aca="false">BC6*Premissas!$D$27</f>
        <v>286000</v>
      </c>
      <c r="BD29" s="22" t="n">
        <f aca="false">BD6*Premissas!$D$27</f>
        <v>286000</v>
      </c>
      <c r="BE29" s="22" t="n">
        <f aca="false">BE6*Premissas!$D$27</f>
        <v>286000</v>
      </c>
      <c r="BF29" s="22" t="n">
        <f aca="false">BF6*Premissas!$D$27</f>
        <v>286000</v>
      </c>
      <c r="BG29" s="22" t="n">
        <f aca="false">BG6*Premissas!$D$27</f>
        <v>286000</v>
      </c>
      <c r="BH29" s="22" t="n">
        <f aca="false">BH6*Premissas!$D$27</f>
        <v>286000</v>
      </c>
      <c r="BI29" s="22" t="n">
        <f aca="false">BI6*Premissas!$D$27</f>
        <v>286000</v>
      </c>
      <c r="BJ29" s="22" t="n">
        <f aca="false">BJ6*Premissas!$D$27</f>
        <v>286000</v>
      </c>
      <c r="BK29" s="22" t="n">
        <f aca="false">BK6*Premissas!$D$27</f>
        <v>286000</v>
      </c>
    </row>
    <row r="30" customFormat="false" ht="15" hidden="false" customHeight="false" outlineLevel="0" collapsed="false">
      <c r="A30" s="9" t="s">
        <v>168</v>
      </c>
      <c r="B30" s="19" t="s">
        <v>155</v>
      </c>
      <c r="C30" s="22" t="n">
        <v>0</v>
      </c>
      <c r="D30" s="22" t="n">
        <f aca="false">Premissas!$D$31</f>
        <v>4000</v>
      </c>
      <c r="E30" s="22" t="n">
        <f aca="false">Premissas!$D$31</f>
        <v>4000</v>
      </c>
      <c r="F30" s="22" t="n">
        <f aca="false">Premissas!$D$31</f>
        <v>4000</v>
      </c>
      <c r="G30" s="22" t="n">
        <f aca="false">Premissas!$D$31</f>
        <v>4000</v>
      </c>
      <c r="H30" s="22" t="n">
        <f aca="false">Premissas!$D$31</f>
        <v>4000</v>
      </c>
      <c r="I30" s="22" t="n">
        <f aca="false">Premissas!$D$31</f>
        <v>4000</v>
      </c>
      <c r="J30" s="22" t="n">
        <f aca="false">Premissas!$D$31</f>
        <v>4000</v>
      </c>
      <c r="K30" s="22" t="n">
        <f aca="false">Premissas!$D$31</f>
        <v>4000</v>
      </c>
      <c r="L30" s="22" t="n">
        <f aca="false">Premissas!$D$31</f>
        <v>4000</v>
      </c>
      <c r="M30" s="22" t="n">
        <f aca="false">Premissas!$D$31</f>
        <v>4000</v>
      </c>
      <c r="N30" s="22" t="n">
        <f aca="false">Premissas!$D$31</f>
        <v>4000</v>
      </c>
      <c r="O30" s="22" t="n">
        <f aca="false">Premissas!$D$31</f>
        <v>4000</v>
      </c>
      <c r="P30" s="22" t="n">
        <f aca="false">Premissas!$D$31</f>
        <v>4000</v>
      </c>
      <c r="Q30" s="22" t="n">
        <f aca="false">Premissas!$D$31</f>
        <v>4000</v>
      </c>
      <c r="R30" s="22" t="n">
        <f aca="false">Premissas!$D$31</f>
        <v>4000</v>
      </c>
      <c r="S30" s="22" t="n">
        <f aca="false">Premissas!$D$31</f>
        <v>4000</v>
      </c>
      <c r="T30" s="22" t="n">
        <f aca="false">Premissas!$D$31</f>
        <v>4000</v>
      </c>
      <c r="U30" s="22" t="n">
        <f aca="false">Premissas!$D$31</f>
        <v>4000</v>
      </c>
      <c r="V30" s="22" t="n">
        <f aca="false">Premissas!$D$31</f>
        <v>4000</v>
      </c>
      <c r="W30" s="22" t="n">
        <f aca="false">Premissas!$D$31</f>
        <v>4000</v>
      </c>
      <c r="X30" s="22" t="n">
        <f aca="false">Premissas!$D$31</f>
        <v>4000</v>
      </c>
      <c r="Y30" s="22" t="n">
        <f aca="false">Premissas!$D$31</f>
        <v>4000</v>
      </c>
      <c r="Z30" s="22" t="n">
        <f aca="false">Premissas!$D$31</f>
        <v>4000</v>
      </c>
      <c r="AA30" s="22" t="n">
        <f aca="false">Premissas!$D$31</f>
        <v>4000</v>
      </c>
      <c r="AB30" s="22" t="n">
        <f aca="false">Premissas!$D$31</f>
        <v>4000</v>
      </c>
      <c r="AC30" s="22" t="n">
        <f aca="false">Premissas!$D$31</f>
        <v>4000</v>
      </c>
      <c r="AD30" s="22" t="n">
        <f aca="false">Premissas!$D$31</f>
        <v>4000</v>
      </c>
      <c r="AE30" s="22" t="n">
        <f aca="false">Premissas!$D$31</f>
        <v>4000</v>
      </c>
      <c r="AF30" s="22" t="n">
        <f aca="false">Premissas!$D$31</f>
        <v>4000</v>
      </c>
      <c r="AG30" s="22" t="n">
        <f aca="false">Premissas!$D$31</f>
        <v>4000</v>
      </c>
      <c r="AH30" s="22" t="n">
        <f aca="false">Premissas!$D$31</f>
        <v>4000</v>
      </c>
      <c r="AI30" s="22" t="n">
        <f aca="false">Premissas!$D$31</f>
        <v>4000</v>
      </c>
      <c r="AJ30" s="22" t="n">
        <f aca="false">Premissas!$D$31</f>
        <v>4000</v>
      </c>
      <c r="AK30" s="22" t="n">
        <f aca="false">Premissas!$D$31</f>
        <v>4000</v>
      </c>
      <c r="AL30" s="22" t="n">
        <f aca="false">Premissas!$D$31</f>
        <v>4000</v>
      </c>
      <c r="AM30" s="22" t="n">
        <f aca="false">Premissas!$D$31</f>
        <v>4000</v>
      </c>
      <c r="AN30" s="22" t="n">
        <f aca="false">Premissas!$D$31</f>
        <v>4000</v>
      </c>
      <c r="AO30" s="22" t="n">
        <f aca="false">Premissas!$D$31</f>
        <v>4000</v>
      </c>
      <c r="AP30" s="22" t="n">
        <f aca="false">Premissas!$D$31</f>
        <v>4000</v>
      </c>
      <c r="AQ30" s="22" t="n">
        <f aca="false">Premissas!$D$31</f>
        <v>4000</v>
      </c>
      <c r="AR30" s="22" t="n">
        <f aca="false">Premissas!$D$31</f>
        <v>4000</v>
      </c>
      <c r="AS30" s="22" t="n">
        <f aca="false">Premissas!$D$31</f>
        <v>4000</v>
      </c>
      <c r="AT30" s="22" t="n">
        <f aca="false">Premissas!$D$31</f>
        <v>4000</v>
      </c>
      <c r="AU30" s="22" t="n">
        <f aca="false">Premissas!$D$31</f>
        <v>4000</v>
      </c>
      <c r="AV30" s="22" t="n">
        <f aca="false">Premissas!$D$31</f>
        <v>4000</v>
      </c>
      <c r="AW30" s="22" t="n">
        <f aca="false">Premissas!$D$31</f>
        <v>4000</v>
      </c>
      <c r="AX30" s="22" t="n">
        <f aca="false">Premissas!$D$31</f>
        <v>4000</v>
      </c>
      <c r="AY30" s="22" t="n">
        <f aca="false">Premissas!$D$31</f>
        <v>4000</v>
      </c>
      <c r="AZ30" s="22" t="n">
        <f aca="false">Premissas!$D$31</f>
        <v>4000</v>
      </c>
      <c r="BA30" s="22" t="n">
        <f aca="false">Premissas!$D$31</f>
        <v>4000</v>
      </c>
      <c r="BB30" s="22" t="n">
        <f aca="false">Premissas!$D$31</f>
        <v>4000</v>
      </c>
      <c r="BC30" s="22" t="n">
        <f aca="false">Premissas!$D$31</f>
        <v>4000</v>
      </c>
      <c r="BD30" s="22" t="n">
        <f aca="false">Premissas!$D$31</f>
        <v>4000</v>
      </c>
      <c r="BE30" s="22" t="n">
        <f aca="false">Premissas!$D$31</f>
        <v>4000</v>
      </c>
      <c r="BF30" s="22" t="n">
        <f aca="false">Premissas!$D$31</f>
        <v>4000</v>
      </c>
      <c r="BG30" s="22" t="n">
        <f aca="false">Premissas!$D$31</f>
        <v>4000</v>
      </c>
      <c r="BH30" s="22" t="n">
        <f aca="false">Premissas!$D$31</f>
        <v>4000</v>
      </c>
      <c r="BI30" s="22" t="n">
        <f aca="false">Premissas!$D$31</f>
        <v>4000</v>
      </c>
      <c r="BJ30" s="22" t="n">
        <f aca="false">Premissas!$D$31</f>
        <v>4000</v>
      </c>
      <c r="BK30" s="22" t="n">
        <f aca="false">Premissas!$D$31</f>
        <v>4000</v>
      </c>
    </row>
    <row r="31" customFormat="false" ht="15" hidden="false" customHeight="false" outlineLevel="0" collapsed="false">
      <c r="A31" s="9" t="s">
        <v>169</v>
      </c>
      <c r="B31" s="19" t="s">
        <v>155</v>
      </c>
      <c r="C31" s="22" t="n">
        <v>0</v>
      </c>
      <c r="D31" s="22" t="n">
        <f aca="false">D24*Premissas!$D$32</f>
        <v>2065.5</v>
      </c>
      <c r="E31" s="22" t="n">
        <f aca="false">E24*Premissas!$D$32</f>
        <v>4110.345</v>
      </c>
      <c r="F31" s="22" t="n">
        <f aca="false">F24*Premissas!$D$32</f>
        <v>8204.4819</v>
      </c>
      <c r="G31" s="22" t="n">
        <f aca="false">G24*Premissas!$D$32</f>
        <v>12401.3756025</v>
      </c>
      <c r="H31" s="22" t="n">
        <f aca="false">H24*Premissas!$D$32</f>
        <v>16724.912177655</v>
      </c>
      <c r="I31" s="22" t="n">
        <f aca="false">I24*Premissas!$D$32</f>
        <v>21199.6612497965</v>
      </c>
      <c r="J31" s="22" t="n">
        <f aca="false">J24*Premissas!$D$32</f>
        <v>25851.0338389596</v>
      </c>
      <c r="K31" s="22" t="n">
        <f aca="false">K24*Premissas!$D$32</f>
        <v>30705.4438376911</v>
      </c>
      <c r="L31" s="22" t="n">
        <f aca="false">L24*Premissas!$D$32</f>
        <v>35790.4742115588</v>
      </c>
      <c r="M31" s="22" t="n">
        <f aca="false">M24*Premissas!$D$32</f>
        <v>41135.0490275428</v>
      </c>
      <c r="N31" s="22" t="n">
        <f aca="false">N24*Premissas!$D$32</f>
        <v>46769.6124379049</v>
      </c>
      <c r="O31" s="22" t="n">
        <f aca="false">O24*Premissas!$D$32</f>
        <v>52726.3157782479</v>
      </c>
      <c r="P31" s="22" t="n">
        <f aca="false">P24*Premissas!$D$32</f>
        <v>59039.213977383</v>
      </c>
      <c r="Q31" s="22" t="n">
        <f aca="false">Q24*Premissas!$D$32</f>
        <v>65744.4725234671</v>
      </c>
      <c r="R31" s="22" t="n">
        <f aca="false">R24*Premissas!$D$32</f>
        <v>72880.5862858511</v>
      </c>
      <c r="S31" s="22" t="n">
        <f aca="false">S24*Premissas!$D$32</f>
        <v>80488.6115554587</v>
      </c>
      <c r="T31" s="22" t="n">
        <f aca="false">T24*Premissas!$D$32</f>
        <v>88612.4127385998</v>
      </c>
      <c r="U31" s="22" t="n">
        <f aca="false">U24*Premissas!$D$32</f>
        <v>97298.9252202813</v>
      </c>
      <c r="V31" s="22" t="n">
        <f aca="false">V24*Premissas!$D$32</f>
        <v>106598.43600375</v>
      </c>
      <c r="W31" s="22" t="n">
        <f aca="false">W24*Premissas!$D$32</f>
        <v>116564.88383366</v>
      </c>
      <c r="X31" s="22" t="n">
        <f aca="false">X24*Premissas!$D$32</f>
        <v>127256.18062148</v>
      </c>
      <c r="Y31" s="22" t="n">
        <f aca="false">Y24*Premissas!$D$32</f>
        <v>138734.556114128</v>
      </c>
      <c r="Z31" s="22" t="n">
        <f aca="false">Z24*Premissas!$D$32</f>
        <v>151066.927881063</v>
      </c>
      <c r="AA31" s="22" t="n">
        <f aca="false">AA24*Premissas!$D$32</f>
        <v>164325.29884194</v>
      </c>
      <c r="AB31" s="22" t="n">
        <f aca="false">AB24*Premissas!$D$32</f>
        <v>178587.184717238</v>
      </c>
      <c r="AC31" s="22" t="n">
        <f aca="false">AC24*Premissas!$D$32</f>
        <v>193936.073959</v>
      </c>
      <c r="AD31" s="22" t="n">
        <f aca="false">AD24*Premissas!$D$32</f>
        <v>210461.922908921</v>
      </c>
      <c r="AE31" s="22" t="n">
        <f aca="false">AE24*Premissas!$D$32</f>
        <v>228261.689137635</v>
      </c>
      <c r="AF31" s="22" t="n">
        <f aca="false">AF24*Premissas!$D$32</f>
        <v>247439.906143362</v>
      </c>
      <c r="AG31" s="22" t="n">
        <f aca="false">AG24*Premissas!$D$32</f>
        <v>268109.302831406</v>
      </c>
      <c r="AH31" s="22" t="n">
        <f aca="false">AH24*Premissas!$D$32</f>
        <v>290391.47145976</v>
      </c>
      <c r="AI31" s="22" t="n">
        <f aca="false">AI24*Premissas!$D$32</f>
        <v>314417.588021857</v>
      </c>
      <c r="AJ31" s="22" t="n">
        <f aca="false">AJ24*Premissas!$D$32</f>
        <v>340329.189346898</v>
      </c>
      <c r="AK31" s="22" t="n">
        <f aca="false">AK24*Premissas!$D$32</f>
        <v>368279.011533139</v>
      </c>
      <c r="AL31" s="22" t="n">
        <f aca="false">AL24*Premissas!$D$32</f>
        <v>398431.89469188</v>
      </c>
      <c r="AM31" s="22" t="n">
        <f aca="false">AM24*Premissas!$D$32</f>
        <v>430720.630731976</v>
      </c>
      <c r="AN31" s="22" t="n">
        <f aca="false">AN24*Premissas!$D$32</f>
        <v>463161.334464482</v>
      </c>
      <c r="AO31" s="22" t="n">
        <f aca="false">AO24*Premissas!$D$32</f>
        <v>495739.911547131</v>
      </c>
      <c r="AP31" s="22" t="n">
        <f aca="false">AP24*Premissas!$D$32</f>
        <v>526506.696554963</v>
      </c>
      <c r="AQ31" s="22" t="n">
        <f aca="false">AQ24*Premissas!$D$32</f>
        <v>555579.939580208</v>
      </c>
      <c r="AR31" s="22" t="n">
        <f aca="false">AR24*Premissas!$D$32</f>
        <v>583069.040654573</v>
      </c>
      <c r="AS31" s="22" t="n">
        <f aca="false">AS24*Premissas!$D$32</f>
        <v>609075.274556782</v>
      </c>
      <c r="AT31" s="22" t="n">
        <f aca="false">AT24*Premissas!$D$32</f>
        <v>633692.453255347</v>
      </c>
      <c r="AU31" s="22" t="n">
        <f aca="false">AU24*Premissas!$D$32</f>
        <v>657007.531484695</v>
      </c>
      <c r="AV31" s="22" t="n">
        <f aca="false">AV24*Premissas!$D$32</f>
        <v>679101.160462507</v>
      </c>
      <c r="AW31" s="22" t="n">
        <f aca="false">AW24*Premissas!$D$32</f>
        <v>700048.194309859</v>
      </c>
      <c r="AX31" s="22" t="n">
        <f aca="false">AX24*Premissas!$D$32</f>
        <v>719918.153329391</v>
      </c>
      <c r="AY31" s="22" t="n">
        <f aca="false">AY24*Premissas!$D$32</f>
        <v>738775.647926868</v>
      </c>
      <c r="AZ31" s="22" t="n">
        <f aca="false">AZ24*Premissas!$D$32</f>
        <v>756680.766624687</v>
      </c>
      <c r="BA31" s="22" t="n">
        <f aca="false">BA24*Premissas!$D$32</f>
        <v>773689.431309253</v>
      </c>
      <c r="BB31" s="22" t="n">
        <f aca="false">BB24*Premissas!$D$32</f>
        <v>789853.722574977</v>
      </c>
      <c r="BC31" s="22" t="n">
        <f aca="false">BC24*Premissas!$D$32</f>
        <v>805222.177773443</v>
      </c>
      <c r="BD31" s="22" t="n">
        <f aca="false">BD24*Premissas!$D$32</f>
        <v>819840.064144838</v>
      </c>
      <c r="BE31" s="22" t="n">
        <f aca="false">BE24*Premissas!$D$32</f>
        <v>833749.629197968</v>
      </c>
      <c r="BF31" s="22" t="n">
        <f aca="false">BF24*Premissas!$D$32</f>
        <v>846990.330313269</v>
      </c>
      <c r="BG31" s="22" t="n">
        <f aca="false">BG24*Premissas!$D$32</f>
        <v>859599.045368469</v>
      </c>
      <c r="BH31" s="22" t="n">
        <f aca="false">BH24*Premissas!$D$32</f>
        <v>871610.266027365</v>
      </c>
      <c r="BI31" s="22" t="n">
        <f aca="false">BI24*Premissas!$D$32</f>
        <v>883056.275187278</v>
      </c>
      <c r="BJ31" s="22" t="n">
        <f aca="false">BJ24*Premissas!$D$32</f>
        <v>893967.309948704</v>
      </c>
      <c r="BK31" s="22" t="n">
        <f aca="false">BK24*Premissas!$D$32</f>
        <v>904371.71135047</v>
      </c>
    </row>
    <row r="32" customFormat="false" ht="15" hidden="false" customHeight="false" outlineLevel="0" collapsed="false">
      <c r="A32" s="13" t="s">
        <v>170</v>
      </c>
      <c r="B32" s="19" t="s">
        <v>155</v>
      </c>
      <c r="C32" s="23" t="n">
        <v>0</v>
      </c>
      <c r="D32" s="23" t="n">
        <f aca="false">D27+D28+D29+D30+D31</f>
        <v>29615.5</v>
      </c>
      <c r="E32" s="23" t="n">
        <f aca="false">E27+E28+E29+E30+E31</f>
        <v>37229.845</v>
      </c>
      <c r="F32" s="23" t="n">
        <f aca="false">F27+F28+F29+F30+F31</f>
        <v>56007.3469</v>
      </c>
      <c r="G32" s="23" t="n">
        <f aca="false">G27+G28+G29+G30+G31</f>
        <v>66062.7073525</v>
      </c>
      <c r="H32" s="23" t="n">
        <f aca="false">H27+H28+H29+H30+H31</f>
        <v>76458.090638155</v>
      </c>
      <c r="I32" s="23" t="n">
        <f aca="false">I27+I28+I29+I30+I31</f>
        <v>87257.2581822915</v>
      </c>
      <c r="J32" s="23" t="n">
        <f aca="false">J27+J28+J29+J30+J31</f>
        <v>98525.9914380453</v>
      </c>
      <c r="K32" s="23" t="n">
        <f aca="false">K27+K28+K29+K30+K31</f>
        <v>110332.522389239</v>
      </c>
      <c r="L32" s="23" t="n">
        <f aca="false">L27+L28+L29+L30+L31</f>
        <v>122747.974627598</v>
      </c>
      <c r="M32" s="23" t="n">
        <f aca="false">M27+M28+M29+M30+M31</f>
        <v>135846.817984764</v>
      </c>
      <c r="N32" s="23" t="n">
        <f aca="false">N27+N28+N29+N30+N31</f>
        <v>149707.339746467</v>
      </c>
      <c r="O32" s="23" t="n">
        <f aca="false">O27+O28+O29+O30+O31</f>
        <v>164412.135544001</v>
      </c>
      <c r="P32" s="23" t="n">
        <f aca="false">P27+P28+P29+P30+P31</f>
        <v>180048.623107134</v>
      </c>
      <c r="Q32" s="23" t="n">
        <f aca="false">Q27+Q28+Q29+Q30+Q31</f>
        <v>196709.582172856</v>
      </c>
      <c r="R32" s="23" t="n">
        <f aca="false">R27+R28+R29+R30+R31</f>
        <v>214493.723976504</v>
      </c>
      <c r="S32" s="23" t="n">
        <f aca="false">S27+S28+S29+S30+S31</f>
        <v>233506.293906283</v>
      </c>
      <c r="T32" s="23" t="n">
        <f aca="false">T27+T28+T29+T30+T31</f>
        <v>253859.711079818</v>
      </c>
      <c r="U32" s="23" t="n">
        <f aca="false">U27+U28+U29+U30+U31</f>
        <v>275674.248802947</v>
      </c>
      <c r="V32" s="23" t="n">
        <f aca="false">V27+V28+V29+V30+V31</f>
        <v>299078.760097617</v>
      </c>
      <c r="W32" s="23" t="n">
        <f aca="false">W27+W28+W29+W30+W31</f>
        <v>333211.452738559</v>
      </c>
      <c r="X32" s="23" t="n">
        <f aca="false">X27+X28+X29+X30+X31</f>
        <v>360220.718518917</v>
      </c>
      <c r="Y32" s="23" t="n">
        <f aca="false">Y27+Y28+Y29+Y30+Y31</f>
        <v>389266.021774589</v>
      </c>
      <c r="Z32" s="23" t="n">
        <f aca="false">Z27+Z28+Z29+Z30+Z31</f>
        <v>420518.852537503</v>
      </c>
      <c r="AA32" s="23" t="n">
        <f aca="false">AA27+AA28+AA29+AA30+AA31</f>
        <v>454163.750061369</v>
      </c>
      <c r="AB32" s="23" t="n">
        <f aca="false">AB27+AB28+AB29+AB30+AB31</f>
        <v>490399.402871598</v>
      </c>
      <c r="AC32" s="23" t="n">
        <f aca="false">AC27+AC28+AC29+AC30+AC31</f>
        <v>529439.831936566</v>
      </c>
      <c r="AD32" s="23" t="n">
        <f aca="false">AD27+AD28+AD29+AD30+AD31</f>
        <v>571515.664042663</v>
      </c>
      <c r="AE32" s="23" t="n">
        <f aca="false">AE27+AE28+AE29+AE30+AE31</f>
        <v>625875.5029835</v>
      </c>
      <c r="AF32" s="23" t="n">
        <f aca="false">AF27+AF28+AF29+AF30+AF31</f>
        <v>674787.406747261</v>
      </c>
      <c r="AG32" s="23" t="n">
        <f aca="false">AG27+AG28+AG29+AG30+AG31</f>
        <v>727540.479508841</v>
      </c>
      <c r="AH32" s="23" t="n">
        <f aca="false">AH27+AH28+AH29+AH30+AH31</f>
        <v>784446.587908802</v>
      </c>
      <c r="AI32" s="23" t="n">
        <f aca="false">AI27+AI28+AI29+AI30+AI31</f>
        <v>845842.211833146</v>
      </c>
      <c r="AJ32" s="23" t="n">
        <f aca="false">AJ27+AJ28+AJ29+AJ30+AJ31</f>
        <v>921090.440700874</v>
      </c>
      <c r="AK32" s="23" t="n">
        <f aca="false">AK27+AK28+AK29+AK30+AK31</f>
        <v>992583.127124818</v>
      </c>
      <c r="AL32" s="23" t="n">
        <f aca="false">AL27+AL28+AL29+AL30+AL31</f>
        <v>1069743.21074048</v>
      </c>
      <c r="AM32" s="23" t="n">
        <f aca="false">AM27+AM28+AM29+AM30+AM31</f>
        <v>1158987.2392317</v>
      </c>
      <c r="AN32" s="23" t="n">
        <f aca="false">AN27+AN28+AN29+AN30+AN31</f>
        <v>1217928.84966695</v>
      </c>
      <c r="AO32" s="23" t="n">
        <f aca="false">AO27+AO28+AO29+AO30+AO31</f>
        <v>1274828.40351646</v>
      </c>
      <c r="AP32" s="23" t="n">
        <f aca="false">AP27+AP28+AP29+AP30+AP31</f>
        <v>1336945.97525673</v>
      </c>
      <c r="AQ32" s="23" t="n">
        <f aca="false">AQ27+AQ28+AQ29+AQ30+AQ31</f>
        <v>1386568.38416811</v>
      </c>
      <c r="AR32" s="23" t="n">
        <f aca="false">AR27+AR28+AR29+AR30+AR31</f>
        <v>1432958.77816008</v>
      </c>
      <c r="AS32" s="23" t="n">
        <f aca="false">AS27+AS28+AS29+AS30+AS31</f>
        <v>1485358.67850009</v>
      </c>
      <c r="AT32" s="23" t="n">
        <f aca="false">AT27+AT28+AT29+AT30+AT31</f>
        <v>1525989.84394452</v>
      </c>
      <c r="AU32" s="23" t="n">
        <f aca="false">AU27+AU28+AU29+AU30+AU31</f>
        <v>1564055.97038858</v>
      </c>
      <c r="AV32" s="23" t="n">
        <f aca="false">AV27+AV28+AV29+AV30+AV31</f>
        <v>1599744.24070671</v>
      </c>
      <c r="AW32" s="23" t="n">
        <f aca="false">AW27+AW28+AW29+AW30+AW31</f>
        <v>1642226.73814008</v>
      </c>
      <c r="AX32" s="23" t="n">
        <f aca="false">AX27+AX28+AX29+AX30+AX31</f>
        <v>1673661.73539058</v>
      </c>
      <c r="AY32" s="23" t="n">
        <f aca="false">AY27+AY28+AY29+AY30+AY31</f>
        <v>1703194.8704912</v>
      </c>
      <c r="AZ32" s="23" t="n">
        <f aca="false">AZ27+AZ28+AZ29+AZ30+AZ31</f>
        <v>1730960.21953133</v>
      </c>
      <c r="BA32" s="23" t="n">
        <f aca="false">BA27+BA28+BA29+BA30+BA31</f>
        <v>1766081.27541248</v>
      </c>
      <c r="BB32" s="23" t="n">
        <f aca="false">BB27+BB28+BB29+BB30+BB31</f>
        <v>1790671.84098877</v>
      </c>
      <c r="BC32" s="23" t="n">
        <f aca="false">BC27+BC28+BC29+BC30+BC31</f>
        <v>1813836.84419866</v>
      </c>
      <c r="BD32" s="23" t="n">
        <f aca="false">BD27+BD28+BD29+BD30+BD31</f>
        <v>1835673.0821137</v>
      </c>
      <c r="BE32" s="23" t="n">
        <f aca="false">BE27+BE28+BE29+BE30+BE31</f>
        <v>1856269.90021067</v>
      </c>
      <c r="BF32" s="23" t="n">
        <f aca="false">BF27+BF28+BF29+BF30+BF31</f>
        <v>1884709.81260942</v>
      </c>
      <c r="BG32" s="23" t="n">
        <f aca="false">BG27+BG28+BG29+BG30+BG31</f>
        <v>1903069.06850558</v>
      </c>
      <c r="BH32" s="23" t="n">
        <f aca="false">BH27+BH28+BH29+BH30+BH31</f>
        <v>1920418.16955984</v>
      </c>
      <c r="BI32" s="23" t="n">
        <f aca="false">BI27+BI28+BI29+BI30+BI31</f>
        <v>1936822.34258043</v>
      </c>
      <c r="BJ32" s="23" t="n">
        <f aca="false">BJ27+BJ28+BJ29+BJ30+BJ31</f>
        <v>1952341.97144793</v>
      </c>
      <c r="BK32" s="23" t="n">
        <f aca="false">BK27+BK28+BK29+BK30+BK31</f>
        <v>1967032.99187936</v>
      </c>
    </row>
    <row r="34" customFormat="false" ht="15" hidden="false" customHeight="false" outlineLevel="0" collapsed="false">
      <c r="A34" s="12" t="s">
        <v>171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</row>
    <row r="35" customFormat="false" ht="15" hidden="false" customHeight="false" outlineLevel="0" collapsed="false">
      <c r="A35" s="13" t="s">
        <v>172</v>
      </c>
      <c r="B35" s="19" t="s">
        <v>155</v>
      </c>
      <c r="C35" s="23" t="n">
        <v>0</v>
      </c>
      <c r="D35" s="23" t="n">
        <f aca="false">D24-D32</f>
        <v>-14315.5</v>
      </c>
      <c r="E35" s="23" t="n">
        <f aca="false">E24-E32</f>
        <v>-6782.845</v>
      </c>
      <c r="F35" s="23" t="n">
        <f aca="false">F24-F32</f>
        <v>4766.5931</v>
      </c>
      <c r="G35" s="23" t="n">
        <f aca="false">G24-G32</f>
        <v>25799.3341475</v>
      </c>
      <c r="H35" s="23" t="n">
        <f aca="false">H24-H32</f>
        <v>47430.147714845</v>
      </c>
      <c r="I35" s="23" t="n">
        <f aca="false">I24-I32</f>
        <v>69777.2695939785</v>
      </c>
      <c r="J35" s="23" t="n">
        <f aca="false">J24-J32</f>
        <v>92963.1481098037</v>
      </c>
      <c r="K35" s="23" t="n">
        <f aca="false">K24-K32</f>
        <v>117115.209741806</v>
      </c>
      <c r="L35" s="23" t="n">
        <f aca="false">L24-L32</f>
        <v>142366.649161727</v>
      </c>
      <c r="M35" s="23" t="n">
        <f aca="false">M24-M32</f>
        <v>168857.248885923</v>
      </c>
      <c r="N35" s="23" t="n">
        <f aca="false">N24-N32</f>
        <v>196734.233867644</v>
      </c>
      <c r="O35" s="23" t="n">
        <f aca="false">O24-O32</f>
        <v>226153.166517094</v>
      </c>
      <c r="P35" s="23" t="n">
        <f aca="false">P24-P32</f>
        <v>257278.887836444</v>
      </c>
      <c r="Q35" s="23" t="n">
        <f aca="false">Q24-Q32</f>
        <v>290286.510593567</v>
      </c>
      <c r="R35" s="23" t="n">
        <f aca="false">R24-R32</f>
        <v>325362.470733504</v>
      </c>
      <c r="S35" s="23" t="n">
        <f aca="false">S24-S32</f>
        <v>362705.643541559</v>
      </c>
      <c r="T35" s="23" t="n">
        <f aca="false">T24-T32</f>
        <v>402528.531428329</v>
      </c>
      <c r="U35" s="23" t="n">
        <f aca="false">U24-U32</f>
        <v>445058.530606544</v>
      </c>
      <c r="V35" s="23" t="n">
        <f aca="false">V24-V32</f>
        <v>490539.284374603</v>
      </c>
      <c r="W35" s="23" t="n">
        <f aca="false">W24-W32</f>
        <v>530232.131214475</v>
      </c>
      <c r="X35" s="23" t="n">
        <f aca="false">X24-X32</f>
        <v>582417.656455008</v>
      </c>
      <c r="Y35" s="23" t="n">
        <f aca="false">Y24-Y32</f>
        <v>638397.35684858</v>
      </c>
      <c r="Z35" s="23" t="n">
        <f aca="false">Z24-Z32</f>
        <v>698495.428062964</v>
      </c>
      <c r="AA35" s="23" t="n">
        <f aca="false">AA24-AA32</f>
        <v>763060.685804855</v>
      </c>
      <c r="AB35" s="23" t="n">
        <f aca="false">AB24-AB32</f>
        <v>832468.632070908</v>
      </c>
      <c r="AC35" s="23" t="n">
        <f aca="false">AC24-AC32</f>
        <v>907123.678870841</v>
      </c>
      <c r="AD35" s="23" t="n">
        <f aca="false">AD24-AD32</f>
        <v>987461.542690083</v>
      </c>
      <c r="AE35" s="23" t="n">
        <f aca="false">AE24-AE32</f>
        <v>1064951.82396194</v>
      </c>
      <c r="AF35" s="23" t="n">
        <f aca="false">AF24-AF32</f>
        <v>1158100.78690727</v>
      </c>
      <c r="AG35" s="23" t="n">
        <f aca="false">AG24-AG32</f>
        <v>1258454.35627935</v>
      </c>
      <c r="AH35" s="23" t="n">
        <f aca="false">AH24-AH32</f>
        <v>1366601.34883016</v>
      </c>
      <c r="AI35" s="23" t="n">
        <f aca="false">AI24-AI32</f>
        <v>1483176.95869913</v>
      </c>
      <c r="AJ35" s="23" t="n">
        <f aca="false">AJ24-AJ32</f>
        <v>1599866.5174243</v>
      </c>
      <c r="AK35" s="23" t="n">
        <f aca="false">AK24-AK32</f>
        <v>1735409.55089844</v>
      </c>
      <c r="AL35" s="23" t="n">
        <f aca="false">AL24-AL32</f>
        <v>1881604.15734753</v>
      </c>
      <c r="AM35" s="23" t="n">
        <f aca="false">AM24-AM32</f>
        <v>2031535.95137553</v>
      </c>
      <c r="AN35" s="23" t="n">
        <f aca="false">AN24-AN32</f>
        <v>2212895.85006995</v>
      </c>
      <c r="AO35" s="23" t="n">
        <f aca="false">AO24-AO32</f>
        <v>2397319.08942525</v>
      </c>
      <c r="AP35" s="23" t="n">
        <f aca="false">AP24-AP32</f>
        <v>2563103.62885411</v>
      </c>
      <c r="AQ35" s="23" t="n">
        <f aca="false">AQ24-AQ32</f>
        <v>2728838.57568529</v>
      </c>
      <c r="AR35" s="23" t="n">
        <f aca="false">AR24-AR32</f>
        <v>2886071.15261453</v>
      </c>
      <c r="AS35" s="23" t="n">
        <f aca="false">AS24-AS32</f>
        <v>3026310.02192051</v>
      </c>
      <c r="AT35" s="23" t="n">
        <f aca="false">AT24-AT32</f>
        <v>3168028.32831731</v>
      </c>
      <c r="AU35" s="23" t="n">
        <f aca="false">AU24-AU32</f>
        <v>3302666.4850536</v>
      </c>
      <c r="AV35" s="23" t="n">
        <f aca="false">AV24-AV32</f>
        <v>3430634.72568223</v>
      </c>
      <c r="AW35" s="23" t="n">
        <f aca="false">AW24-AW32</f>
        <v>3543315.44193295</v>
      </c>
      <c r="AX35" s="23" t="n">
        <f aca="false">AX24-AX32</f>
        <v>3659065.32630862</v>
      </c>
      <c r="AY35" s="23" t="n">
        <f aca="false">AY24-AY32</f>
        <v>3769217.33637449</v>
      </c>
      <c r="AZ35" s="23" t="n">
        <f aca="false">AZ24-AZ32</f>
        <v>3874082.49620709</v>
      </c>
      <c r="BA35" s="23" t="n">
        <f aca="false">BA24-BA32</f>
        <v>3964951.5491005</v>
      </c>
      <c r="BB35" s="23" t="n">
        <f aca="false">BB24-BB32</f>
        <v>4060096.47438142</v>
      </c>
      <c r="BC35" s="23" t="n">
        <f aca="false">BC24-BC32</f>
        <v>4150771.88004907</v>
      </c>
      <c r="BD35" s="23" t="n">
        <f aca="false">BD24-BD32</f>
        <v>4237216.28192214</v>
      </c>
      <c r="BE35" s="23" t="n">
        <f aca="false">BE24-BE32</f>
        <v>4319653.27903354</v>
      </c>
      <c r="BF35" s="23" t="n">
        <f aca="false">BF24-BF32</f>
        <v>4389292.63415554</v>
      </c>
      <c r="BG35" s="23" t="n">
        <f aca="false">BG24-BG32</f>
        <v>4464331.26755715</v>
      </c>
      <c r="BH35" s="23" t="n">
        <f aca="false">BH24-BH32</f>
        <v>4535954.1713836</v>
      </c>
      <c r="BI35" s="23" t="n">
        <f aca="false">BI24-BI32</f>
        <v>4604335.2513994</v>
      </c>
      <c r="BJ35" s="23" t="n">
        <f aca="false">BJ24-BJ32</f>
        <v>4669638.10224617</v>
      </c>
      <c r="BK35" s="23" t="n">
        <f aca="false">BK24-BK32</f>
        <v>4732016.72182782</v>
      </c>
    </row>
    <row r="36" customFormat="false" ht="15" hidden="false" customHeight="false" outlineLevel="0" collapsed="false">
      <c r="A36" s="13" t="s">
        <v>173</v>
      </c>
      <c r="B36" s="19" t="s">
        <v>155</v>
      </c>
      <c r="C36" s="23" t="n">
        <f aca="false">Premissas!$D$33</f>
        <v>-21000</v>
      </c>
      <c r="D36" s="23" t="n">
        <f aca="false">C36+D35</f>
        <v>-35315.5</v>
      </c>
      <c r="E36" s="23" t="n">
        <f aca="false">D36+E35</f>
        <v>-42098.345</v>
      </c>
      <c r="F36" s="23" t="n">
        <f aca="false">E36+F35</f>
        <v>-37331.7519</v>
      </c>
      <c r="G36" s="23" t="n">
        <f aca="false">F36+G35</f>
        <v>-11532.4177525</v>
      </c>
      <c r="H36" s="23" t="n">
        <f aca="false">G36+H35</f>
        <v>35897.729962345</v>
      </c>
      <c r="I36" s="23" t="n">
        <f aca="false">H36+I35</f>
        <v>105674.999556324</v>
      </c>
      <c r="J36" s="23" t="n">
        <f aca="false">I36+J35</f>
        <v>198638.147666127</v>
      </c>
      <c r="K36" s="23" t="n">
        <f aca="false">J36+K35</f>
        <v>315753.357407933</v>
      </c>
      <c r="L36" s="23" t="n">
        <f aca="false">K36+L35</f>
        <v>458120.006569659</v>
      </c>
      <c r="M36" s="23" t="n">
        <f aca="false">L36+M35</f>
        <v>626977.255455583</v>
      </c>
      <c r="N36" s="23" t="n">
        <f aca="false">M36+N35</f>
        <v>823711.489323227</v>
      </c>
      <c r="O36" s="23" t="n">
        <f aca="false">N36+O35</f>
        <v>1049864.65584032</v>
      </c>
      <c r="P36" s="23" t="n">
        <f aca="false">O36+P35</f>
        <v>1307143.54367676</v>
      </c>
      <c r="Q36" s="23" t="n">
        <f aca="false">P36+Q35</f>
        <v>1597430.05427033</v>
      </c>
      <c r="R36" s="23" t="n">
        <f aca="false">Q36+R35</f>
        <v>1922792.52500384</v>
      </c>
      <c r="S36" s="23" t="n">
        <f aca="false">R36+S35</f>
        <v>2285498.16854539</v>
      </c>
      <c r="T36" s="23" t="n">
        <f aca="false">S36+T35</f>
        <v>2688026.69997372</v>
      </c>
      <c r="U36" s="23" t="n">
        <f aca="false">T36+U35</f>
        <v>3133085.23058027</v>
      </c>
      <c r="V36" s="23" t="n">
        <f aca="false">U36+V35</f>
        <v>3623624.51495487</v>
      </c>
      <c r="W36" s="23" t="n">
        <f aca="false">V36+W35</f>
        <v>4153856.64616934</v>
      </c>
      <c r="X36" s="23" t="n">
        <f aca="false">W36+X35</f>
        <v>4736274.30262435</v>
      </c>
      <c r="Y36" s="23" t="n">
        <f aca="false">X36+Y35</f>
        <v>5374671.65947293</v>
      </c>
      <c r="Z36" s="23" t="n">
        <f aca="false">Y36+Z35</f>
        <v>6073167.0875359</v>
      </c>
      <c r="AA36" s="23" t="n">
        <f aca="false">Z36+AA35</f>
        <v>6836227.77334075</v>
      </c>
      <c r="AB36" s="23" t="n">
        <f aca="false">AA36+AB35</f>
        <v>7668696.40541166</v>
      </c>
      <c r="AC36" s="23" t="n">
        <f aca="false">AB36+AC35</f>
        <v>8575820.0842825</v>
      </c>
      <c r="AD36" s="23" t="n">
        <f aca="false">AC36+AD35</f>
        <v>9563281.62697258</v>
      </c>
      <c r="AE36" s="23" t="n">
        <f aca="false">AD36+AE35</f>
        <v>10628233.4509345</v>
      </c>
      <c r="AF36" s="23" t="n">
        <f aca="false">AE36+AF35</f>
        <v>11786334.2378418</v>
      </c>
      <c r="AG36" s="23" t="n">
        <f aca="false">AF36+AG35</f>
        <v>13044788.5941211</v>
      </c>
      <c r="AH36" s="23" t="n">
        <f aca="false">AG36+AH35</f>
        <v>14411389.9429513</v>
      </c>
      <c r="AI36" s="23" t="n">
        <f aca="false">AH36+AI35</f>
        <v>15894566.9016504</v>
      </c>
      <c r="AJ36" s="23" t="n">
        <f aca="false">AI36+AJ35</f>
        <v>17494433.4190747</v>
      </c>
      <c r="AK36" s="23" t="n">
        <f aca="false">AJ36+AK35</f>
        <v>19229842.9699732</v>
      </c>
      <c r="AL36" s="23" t="n">
        <f aca="false">AK36+AL35</f>
        <v>21111447.1273207</v>
      </c>
      <c r="AM36" s="23" t="n">
        <f aca="false">AL36+AM35</f>
        <v>23142983.0786962</v>
      </c>
      <c r="AN36" s="23" t="n">
        <f aca="false">AM36+AN35</f>
        <v>25355878.9287662</v>
      </c>
      <c r="AO36" s="23" t="n">
        <f aca="false">AN36+AO35</f>
        <v>27753198.0181914</v>
      </c>
      <c r="AP36" s="23" t="n">
        <f aca="false">AO36+AP35</f>
        <v>30316301.6470455</v>
      </c>
      <c r="AQ36" s="23" t="n">
        <f aca="false">AP36+AQ35</f>
        <v>33045140.2227308</v>
      </c>
      <c r="AR36" s="23" t="n">
        <f aca="false">AQ36+AR35</f>
        <v>35931211.3753454</v>
      </c>
      <c r="AS36" s="23" t="n">
        <f aca="false">AR36+AS35</f>
        <v>38957521.3972659</v>
      </c>
      <c r="AT36" s="23" t="n">
        <f aca="false">AS36+AT35</f>
        <v>42125549.7255832</v>
      </c>
      <c r="AU36" s="23" t="n">
        <f aca="false">AT36+AU35</f>
        <v>45428216.2106368</v>
      </c>
      <c r="AV36" s="23" t="n">
        <f aca="false">AU36+AV35</f>
        <v>48858850.936319</v>
      </c>
      <c r="AW36" s="23" t="n">
        <f aca="false">AV36+AW35</f>
        <v>52402166.378252</v>
      </c>
      <c r="AX36" s="23" t="n">
        <f aca="false">AW36+AX35</f>
        <v>56061231.7045606</v>
      </c>
      <c r="AY36" s="23" t="n">
        <f aca="false">AX36+AY35</f>
        <v>59830449.0409351</v>
      </c>
      <c r="AZ36" s="23" t="n">
        <f aca="false">AY36+AZ35</f>
        <v>63704531.5371422</v>
      </c>
      <c r="BA36" s="23" t="n">
        <f aca="false">AZ36+BA35</f>
        <v>67669483.0862427</v>
      </c>
      <c r="BB36" s="23" t="n">
        <f aca="false">BA36+BB35</f>
        <v>71729579.5606241</v>
      </c>
      <c r="BC36" s="23" t="n">
        <f aca="false">BB36+BC35</f>
        <v>75880351.4406731</v>
      </c>
      <c r="BD36" s="23" t="n">
        <f aca="false">BC36+BD35</f>
        <v>80117567.7225953</v>
      </c>
      <c r="BE36" s="23" t="n">
        <f aca="false">BD36+BE35</f>
        <v>84437221.0016288</v>
      </c>
      <c r="BF36" s="23" t="n">
        <f aca="false">BE36+BF35</f>
        <v>88826513.6357844</v>
      </c>
      <c r="BG36" s="23" t="n">
        <f aca="false">BF36+BG35</f>
        <v>93290844.9033415</v>
      </c>
      <c r="BH36" s="23" t="n">
        <f aca="false">BG36+BH35</f>
        <v>97826799.0747251</v>
      </c>
      <c r="BI36" s="23" t="n">
        <f aca="false">BH36+BI35</f>
        <v>102431134.326125</v>
      </c>
      <c r="BJ36" s="23" t="n">
        <f aca="false">BI36+BJ35</f>
        <v>107100772.428371</v>
      </c>
      <c r="BK36" s="23" t="n">
        <f aca="false">BJ36+BK35</f>
        <v>111832789.150198</v>
      </c>
    </row>
  </sheetData>
  <mergeCells count="5">
    <mergeCell ref="D3:O3"/>
    <mergeCell ref="P3:AA3"/>
    <mergeCell ref="AB3:AM3"/>
    <mergeCell ref="AN3:AY3"/>
    <mergeCell ref="AZ3:B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6" min="2" style="0" width="13"/>
    <col collapsed="false" customWidth="true" hidden="false" outlineLevel="0" max="17" min="17" style="0" width="4"/>
    <col collapsed="false" customWidth="true" hidden="false" outlineLevel="0" max="21" min="18" style="0" width="15"/>
  </cols>
  <sheetData>
    <row r="1" customFormat="false" ht="17.35" hidden="false" customHeight="false" outlineLevel="0" collapsed="false">
      <c r="A1" s="5" t="s">
        <v>176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3" customFormat="false" ht="64.9" hidden="false" customHeight="false" outlineLevel="0" collapsed="false">
      <c r="A3" s="6" t="s">
        <v>73</v>
      </c>
      <c r="B3" s="20" t="s">
        <v>177</v>
      </c>
      <c r="C3" s="20" t="s">
        <v>178</v>
      </c>
      <c r="D3" s="20" t="s">
        <v>179</v>
      </c>
      <c r="E3" s="20" t="s">
        <v>180</v>
      </c>
      <c r="F3" s="20" t="s">
        <v>181</v>
      </c>
      <c r="H3" s="25" t="s">
        <v>182</v>
      </c>
      <c r="I3" s="25" t="s">
        <v>183</v>
      </c>
      <c r="J3" s="25" t="s">
        <v>184</v>
      </c>
      <c r="K3" s="25" t="s">
        <v>185</v>
      </c>
      <c r="L3" s="25" t="s">
        <v>186</v>
      </c>
      <c r="N3" s="26" t="s">
        <v>187</v>
      </c>
      <c r="O3" s="26" t="s">
        <v>188</v>
      </c>
      <c r="P3" s="26" t="s">
        <v>189</v>
      </c>
      <c r="Q3" s="26" t="s">
        <v>190</v>
      </c>
      <c r="R3" s="26" t="s">
        <v>191</v>
      </c>
    </row>
    <row r="4" customFormat="false" ht="15" hidden="false" customHeight="false" outlineLevel="0" collapsed="false">
      <c r="A4" s="9" t="s">
        <v>192</v>
      </c>
      <c r="B4" s="27" t="n">
        <f aca="false">SUM(Pessimista!D6:O6)</f>
        <v>536.483589125091</v>
      </c>
      <c r="C4" s="27" t="n">
        <f aca="false">SUM(Pessimista!P6:AA6)</f>
        <v>680.39090982536</v>
      </c>
      <c r="D4" s="27" t="n">
        <f aca="false">SUM(Pessimista!AB6:AM6)</f>
        <v>862.900188480958</v>
      </c>
      <c r="E4" s="27" t="n">
        <f aca="false">SUM(Pessimista!AN6:AY6)</f>
        <v>1094.36608356745</v>
      </c>
      <c r="F4" s="27" t="n">
        <f aca="false">SUM(Pessimista!AZ6:BK6)</f>
        <v>1387.92080573197</v>
      </c>
      <c r="H4" s="27" t="n">
        <f aca="false">SUM(Realista!D6:O6)</f>
        <v>1237.12254714287</v>
      </c>
      <c r="I4" s="27" t="n">
        <f aca="false">SUM(Realista!P6:AA6)</f>
        <v>2098.01315775809</v>
      </c>
      <c r="J4" s="27" t="n">
        <f aca="false">SUM(Realista!AB6:AM6)</f>
        <v>3557.98155994462</v>
      </c>
      <c r="K4" s="27" t="n">
        <f aca="false">SUM(Realista!AN6:AY6)</f>
        <v>6033.91486564053</v>
      </c>
      <c r="L4" s="27" t="n">
        <f aca="false">SUM(Realista!AZ6:BK6)</f>
        <v>9806.40462014559</v>
      </c>
      <c r="N4" s="27" t="n">
        <f aca="false">SUM(Otimista!D6:O6)</f>
        <v>2846.56896903559</v>
      </c>
      <c r="O4" s="27" t="n">
        <f aca="false">SUM(Otimista!P6:AA6)</f>
        <v>7168.14491328962</v>
      </c>
      <c r="P4" s="27" t="n">
        <f aca="false">SUM(Otimista!AB6:AM6)</f>
        <v>18032.8066695258</v>
      </c>
      <c r="Q4" s="27" t="n">
        <f aca="false">SUM(Otimista!AN6:AY6)</f>
        <v>26400</v>
      </c>
      <c r="R4" s="27" t="n">
        <f aca="false">SUM(Otimista!AZ6:BK6)</f>
        <v>26400</v>
      </c>
    </row>
    <row r="5" customFormat="false" ht="15" hidden="false" customHeight="false" outlineLevel="0" collapsed="false">
      <c r="A5" s="9" t="s">
        <v>193</v>
      </c>
      <c r="B5" s="27" t="n">
        <f aca="false">Pessimista!O13</f>
        <v>9.4152715892535</v>
      </c>
      <c r="C5" s="27" t="n">
        <f aca="false">Pessimista!AA13</f>
        <v>16.6352356436699</v>
      </c>
      <c r="D5" s="27" t="n">
        <f aca="false">Pessimista!AM13</f>
        <v>22.8234722498554</v>
      </c>
      <c r="E5" s="27" t="n">
        <f aca="false">Pessimista!AY13</f>
        <v>29.5802629800737</v>
      </c>
      <c r="F5" s="27" t="n">
        <f aca="false">Pessimista!BK13</f>
        <v>37.748240121116</v>
      </c>
      <c r="H5" s="27" t="n">
        <f aca="false">Realista!O13</f>
        <v>61.8273101798398</v>
      </c>
      <c r="I5" s="27" t="n">
        <f aca="false">Realista!AA13</f>
        <v>144.902956696948</v>
      </c>
      <c r="J5" s="27" t="n">
        <f aca="false">Realista!AM13</f>
        <v>264.799398929343</v>
      </c>
      <c r="K5" s="27" t="n">
        <f aca="false">Realista!AY13</f>
        <v>458.139979754062</v>
      </c>
      <c r="L5" s="27" t="n">
        <f aca="false">Realista!BK13</f>
        <v>771.477623713574</v>
      </c>
      <c r="N5" s="27" t="n">
        <f aca="false">Otimista!O13</f>
        <v>205.437699676177</v>
      </c>
      <c r="O5" s="27" t="n">
        <f aca="false">Otimista!AA13</f>
        <v>691.513758309353</v>
      </c>
      <c r="P5" s="27" t="n">
        <f aca="false">Otimista!AM13</f>
        <v>1848.07516127364</v>
      </c>
      <c r="Q5" s="27" t="n">
        <f aca="false">Otimista!AY13</f>
        <v>3465.15583193062</v>
      </c>
      <c r="R5" s="27" t="n">
        <f aca="false">Otimista!BK13</f>
        <v>4466.24075704695</v>
      </c>
    </row>
    <row r="6" customFormat="false" ht="15" hidden="false" customHeight="false" outlineLevel="0" collapsed="false">
      <c r="A6" s="9" t="s">
        <v>194</v>
      </c>
      <c r="B6" s="27" t="n">
        <f aca="false">Pessimista!O14</f>
        <v>267.141492049666</v>
      </c>
      <c r="C6" s="27" t="n">
        <f aca="false">Pessimista!AA14</f>
        <v>379.615295576616</v>
      </c>
      <c r="D6" s="27" t="n">
        <f aca="false">Pessimista!AM14</f>
        <v>488.307854507747</v>
      </c>
      <c r="E6" s="27" t="n">
        <f aca="false">Pessimista!AY14</f>
        <v>620.65783515102</v>
      </c>
      <c r="F6" s="27" t="n">
        <f aca="false">Pessimista!BK14</f>
        <v>787.481474649057</v>
      </c>
      <c r="H6" s="27" t="n">
        <f aca="false">Realista!O14</f>
        <v>730.071092622655</v>
      </c>
      <c r="I6" s="27" t="n">
        <f aca="false">Realista!AA14</f>
        <v>1416.9576457185</v>
      </c>
      <c r="J6" s="27" t="n">
        <f aca="false">Realista!AM14</f>
        <v>2451.98685902779</v>
      </c>
      <c r="K6" s="27" t="n">
        <f aca="false">Realista!AY14</f>
        <v>4173.8063826588</v>
      </c>
      <c r="L6" s="27" t="n">
        <f aca="false">Realista!BK14</f>
        <v>6704.78403819031</v>
      </c>
      <c r="N6" s="27" t="n">
        <f aca="false">Otimista!O14</f>
        <v>1971.06886382179</v>
      </c>
      <c r="O6" s="27" t="n">
        <f aca="false">Otimista!AA14</f>
        <v>5679.44111593966</v>
      </c>
      <c r="P6" s="27" t="n">
        <f aca="false">Otimista!AM14</f>
        <v>14565.4299444343</v>
      </c>
      <c r="Q6" s="27" t="n">
        <f aca="false">Otimista!AY14</f>
        <v>22311.8230579382</v>
      </c>
      <c r="R6" s="27" t="n">
        <f aca="false">Otimista!BK14</f>
        <v>25283.7511306998</v>
      </c>
    </row>
    <row r="7" customFormat="false" ht="15" hidden="false" customHeight="false" outlineLevel="0" collapsed="false">
      <c r="A7" s="13" t="s">
        <v>195</v>
      </c>
      <c r="B7" s="27" t="n">
        <f aca="false">SUM(Pessimista!D24:O24)</f>
        <v>61104.4865614934</v>
      </c>
      <c r="C7" s="27" t="n">
        <f aca="false">SUM(Pessimista!P24:AA24)</f>
        <v>136720.38437161</v>
      </c>
      <c r="D7" s="27" t="n">
        <f aca="false">SUM(Pessimista!AB24:AM24)</f>
        <v>189960.822003833</v>
      </c>
      <c r="E7" s="27" t="n">
        <f aca="false">SUM(Pessimista!AN24:AY24)</f>
        <v>246235.36298275</v>
      </c>
      <c r="F7" s="27" t="n">
        <f aca="false">SUM(Pessimista!AZ24:BK24)</f>
        <v>314131.858585694</v>
      </c>
      <c r="H7" s="27" t="n">
        <f aca="false">SUM(Realista!D24:O24)</f>
        <v>465605.561916408</v>
      </c>
      <c r="I7" s="27" t="n">
        <f aca="false">SUM(Realista!P24:AA24)</f>
        <v>1413923.93239524</v>
      </c>
      <c r="J7" s="27" t="n">
        <f aca="false">SUM(Realista!AB24:AM24)</f>
        <v>2647422.64066098</v>
      </c>
      <c r="K7" s="27" t="n">
        <f aca="false">SUM(Realista!AN24:AY24)</f>
        <v>4597585.63285455</v>
      </c>
      <c r="L7" s="27" t="n">
        <f aca="false">SUM(Realista!AZ24:BK24)</f>
        <v>7797687.42855018</v>
      </c>
      <c r="N7" s="27" t="n">
        <f aca="false">SUM(Otimista!D24:O24)</f>
        <v>2205068.18564338</v>
      </c>
      <c r="O7" s="27" t="n">
        <f aca="false">SUM(Otimista!P24:AA24)</f>
        <v>9397114.85627453</v>
      </c>
      <c r="P7" s="27" t="n">
        <f aca="false">SUM(Otimista!AB24:AM24)</f>
        <v>25699006.4109857</v>
      </c>
      <c r="Q7" s="27" t="n">
        <f aca="false">SUM(Otimista!AN24:AY24)</f>
        <v>54530928.4305689</v>
      </c>
      <c r="R7" s="27" t="n">
        <f aca="false">SUM(Otimista!AZ24:BK24)</f>
        <v>74360227.6283016</v>
      </c>
    </row>
    <row r="8" customFormat="false" ht="15" hidden="false" customHeight="false" outlineLevel="0" collapsed="false">
      <c r="A8" s="13" t="s">
        <v>196</v>
      </c>
      <c r="B8" s="27" t="n">
        <f aca="false">SUM(Pessimista!D32:O32)</f>
        <v>222841.826833123</v>
      </c>
      <c r="C8" s="27" t="n">
        <f aca="false">SUM(Pessimista!P32:AA32)</f>
        <v>310020.346900548</v>
      </c>
      <c r="D8" s="27" t="n">
        <f aca="false">SUM(Pessimista!AB32:AM32)</f>
        <v>364594.580261966</v>
      </c>
      <c r="E8" s="27" t="n">
        <f aca="false">SUM(Pessimista!AN32:AY32)</f>
        <v>428371.664575865</v>
      </c>
      <c r="F8" s="27" t="n">
        <f aca="false">SUM(Pessimista!AZ32:BK32)</f>
        <v>508220.647961159</v>
      </c>
      <c r="H8" s="27" t="n">
        <f aca="false">SUM(Realista!D32:O32)</f>
        <v>446226.409850207</v>
      </c>
      <c r="I8" s="27" t="n">
        <f aca="false">SUM(Realista!P32:AA32)</f>
        <v>868113.085868842</v>
      </c>
      <c r="J8" s="27" t="n">
        <f aca="false">SUM(Realista!AB32:AM32)</f>
        <v>1427400.30795707</v>
      </c>
      <c r="K8" s="27" t="n">
        <f aca="false">SUM(Realista!AN32:AY32)</f>
        <v>2340156.00509284</v>
      </c>
      <c r="L8" s="27" t="n">
        <f aca="false">SUM(Realista!AZ32:BK32)</f>
        <v>3857700.17894454</v>
      </c>
      <c r="N8" s="27" t="n">
        <f aca="false">SUM(Otimista!D32:O32)</f>
        <v>1134203.52980306</v>
      </c>
      <c r="O8" s="27" t="n">
        <f aca="false">SUM(Otimista!P32:AA32)</f>
        <v>3610751.7387741</v>
      </c>
      <c r="P8" s="27" t="n">
        <f aca="false">SUM(Otimista!AB32:AM32)</f>
        <v>9392251.10563025</v>
      </c>
      <c r="Q8" s="27" t="n">
        <f aca="false">SUM(Otimista!AN32:AY32)</f>
        <v>17843462.4683301</v>
      </c>
      <c r="R8" s="27" t="n">
        <f aca="false">SUM(Otimista!AZ32:BK32)</f>
        <v>22357887.5190382</v>
      </c>
    </row>
    <row r="9" customFormat="false" ht="15" hidden="false" customHeight="false" outlineLevel="0" collapsed="false">
      <c r="A9" s="13" t="s">
        <v>197</v>
      </c>
      <c r="B9" s="27" t="n">
        <f aca="false">SUM(Pessimista!D35:O35)</f>
        <v>-161737.34027163</v>
      </c>
      <c r="C9" s="27" t="n">
        <f aca="false">SUM(Pessimista!P35:AA35)</f>
        <v>-173299.962528938</v>
      </c>
      <c r="D9" s="27" t="n">
        <f aca="false">SUM(Pessimista!AB35:AM35)</f>
        <v>-174633.758258132</v>
      </c>
      <c r="E9" s="27" t="n">
        <f aca="false">SUM(Pessimista!AN35:AY35)</f>
        <v>-182136.301593115</v>
      </c>
      <c r="F9" s="27" t="n">
        <f aca="false">SUM(Pessimista!AZ35:BK35)</f>
        <v>-194088.789375465</v>
      </c>
      <c r="H9" s="27" t="n">
        <f aca="false">SUM(Realista!D35:O35)</f>
        <v>19379.1520662012</v>
      </c>
      <c r="I9" s="27" t="n">
        <f aca="false">SUM(Realista!P35:AA35)</f>
        <v>545810.846526395</v>
      </c>
      <c r="J9" s="27" t="n">
        <f aca="false">SUM(Realista!AB35:AM35)</f>
        <v>1220022.33270391</v>
      </c>
      <c r="K9" s="27" t="n">
        <f aca="false">SUM(Realista!AN35:AY35)</f>
        <v>2257429.62776172</v>
      </c>
      <c r="L9" s="27" t="n">
        <f aca="false">SUM(Realista!AZ35:BK35)</f>
        <v>3939987.24960564</v>
      </c>
      <c r="N9" s="27" t="n">
        <f aca="false">SUM(Otimista!D35:O35)</f>
        <v>1070864.65584032</v>
      </c>
      <c r="O9" s="27" t="n">
        <f aca="false">SUM(Otimista!P35:AA35)</f>
        <v>5786363.11750043</v>
      </c>
      <c r="P9" s="27" t="n">
        <f aca="false">SUM(Otimista!AB35:AM35)</f>
        <v>16306755.3053555</v>
      </c>
      <c r="Q9" s="27" t="n">
        <f aca="false">SUM(Otimista!AN35:AY35)</f>
        <v>36687465.9622388</v>
      </c>
      <c r="R9" s="27" t="n">
        <f aca="false">SUM(Otimista!AZ35:BK35)</f>
        <v>52002340.1092634</v>
      </c>
    </row>
    <row r="10" customFormat="false" ht="15" hidden="false" customHeight="false" outlineLevel="0" collapsed="false">
      <c r="A10" s="13" t="s">
        <v>198</v>
      </c>
      <c r="B10" s="27" t="n">
        <f aca="false">Pessimista!O36</f>
        <v>-182737.34027163</v>
      </c>
      <c r="C10" s="27" t="n">
        <f aca="false">Pessimista!AA36</f>
        <v>-356037.302800568</v>
      </c>
      <c r="D10" s="27" t="n">
        <f aca="false">Pessimista!AM36</f>
        <v>-530671.0610587</v>
      </c>
      <c r="E10" s="27" t="n">
        <f aca="false">Pessimista!AY36</f>
        <v>-712807.362651815</v>
      </c>
      <c r="F10" s="27" t="n">
        <f aca="false">Pessimista!BK36</f>
        <v>-906896.152027281</v>
      </c>
      <c r="H10" s="27" t="n">
        <f aca="false">Realista!O36</f>
        <v>-1620.84793379882</v>
      </c>
      <c r="I10" s="27" t="n">
        <f aca="false">Realista!AA36</f>
        <v>544189.998592597</v>
      </c>
      <c r="J10" s="27" t="n">
        <f aca="false">Realista!AM36</f>
        <v>1764212.33129651</v>
      </c>
      <c r="K10" s="27" t="n">
        <f aca="false">Realista!AY36</f>
        <v>4021641.95905822</v>
      </c>
      <c r="L10" s="27" t="n">
        <f aca="false">Realista!BK36</f>
        <v>7961629.20866387</v>
      </c>
      <c r="N10" s="27" t="n">
        <f aca="false">Otimista!O36</f>
        <v>1049864.65584032</v>
      </c>
      <c r="O10" s="27" t="n">
        <f aca="false">Otimista!AA36</f>
        <v>6836227.77334075</v>
      </c>
      <c r="P10" s="27" t="n">
        <f aca="false">Otimista!AM36</f>
        <v>23142983.0786962</v>
      </c>
      <c r="Q10" s="27" t="n">
        <f aca="false">Otimista!AY36</f>
        <v>59830449.0409351</v>
      </c>
      <c r="R10" s="27" t="n">
        <f aca="false">Otimista!BK36</f>
        <v>111832789.150198</v>
      </c>
    </row>
    <row r="13" customFormat="false" ht="15" hidden="false" customHeight="false" outlineLevel="0" collapsed="false">
      <c r="A13" s="28" t="s">
        <v>199</v>
      </c>
    </row>
    <row r="14" customFormat="false" ht="15" hidden="false" customHeight="false" outlineLevel="0" collapsed="false">
      <c r="A14" s="6" t="s">
        <v>73</v>
      </c>
      <c r="B14" s="29" t="s">
        <v>20</v>
      </c>
      <c r="C14" s="30" t="s">
        <v>21</v>
      </c>
      <c r="D14" s="31" t="s">
        <v>22</v>
      </c>
    </row>
    <row r="15" customFormat="false" ht="15" hidden="false" customHeight="false" outlineLevel="0" collapsed="false">
      <c r="A15" s="13" t="s">
        <v>200</v>
      </c>
      <c r="B15" s="27" t="n">
        <f aca="false">SUM(Pessimista!D24:BK24)</f>
        <v>948152.91450538</v>
      </c>
      <c r="C15" s="27" t="n">
        <f aca="false">SUM(Realista!D24:BK24)</f>
        <v>16922225.1963774</v>
      </c>
      <c r="D15" s="27" t="n">
        <f aca="false">SUM(Otimista!D24:BK24)</f>
        <v>166192345.511774</v>
      </c>
    </row>
    <row r="16" customFormat="false" ht="15" hidden="false" customHeight="false" outlineLevel="0" collapsed="false">
      <c r="A16" s="13" t="s">
        <v>201</v>
      </c>
      <c r="B16" s="27" t="n">
        <f aca="false">SUM(Pessimista!D32:BK32)</f>
        <v>1834049.06653266</v>
      </c>
      <c r="C16" s="27" t="n">
        <f aca="false">SUM(Realista!D32:BK32)</f>
        <v>8939595.98771349</v>
      </c>
      <c r="D16" s="27" t="n">
        <f aca="false">SUM(Otimista!D32:BK32)</f>
        <v>54338556.3615757</v>
      </c>
    </row>
    <row r="17" customFormat="false" ht="15" hidden="false" customHeight="false" outlineLevel="0" collapsed="false">
      <c r="A17" s="13" t="s">
        <v>202</v>
      </c>
      <c r="B17" s="27" t="n">
        <f aca="false">SUM(Pessimista!D35:BK35)</f>
        <v>-885896.15202728</v>
      </c>
      <c r="C17" s="27" t="n">
        <f aca="false">SUM(Realista!D35:BK35)</f>
        <v>7982629.20866387</v>
      </c>
      <c r="D17" s="27" t="n">
        <f aca="false">SUM(Otimista!D35:BK35)</f>
        <v>111853789.150198</v>
      </c>
    </row>
    <row r="18" customFormat="false" ht="15" hidden="false" customHeight="false" outlineLevel="0" collapsed="false">
      <c r="A18" s="13" t="s">
        <v>203</v>
      </c>
      <c r="B18" s="27" t="n">
        <f aca="false">Pessimista!BK36</f>
        <v>-906896.152027281</v>
      </c>
      <c r="C18" s="27" t="n">
        <f aca="false">Realista!BK36</f>
        <v>7961629.20866387</v>
      </c>
      <c r="D18" s="27" t="n">
        <f aca="false">Otimista!BK36</f>
        <v>111832789.150198</v>
      </c>
    </row>
    <row r="19" customFormat="false" ht="15" hidden="false" customHeight="false" outlineLevel="0" collapsed="false">
      <c r="A19" s="13" t="s">
        <v>204</v>
      </c>
      <c r="B19" s="27" t="n">
        <f aca="false">Pessimista!BK13</f>
        <v>37.748240121116</v>
      </c>
      <c r="C19" s="27" t="n">
        <f aca="false">Realista!BK13</f>
        <v>771.477623713574</v>
      </c>
      <c r="D19" s="27" t="n">
        <f aca="false">Otimista!BK13</f>
        <v>4466.24075704695</v>
      </c>
    </row>
    <row r="20" customFormat="false" ht="15" hidden="false" customHeight="false" outlineLevel="0" collapsed="false">
      <c r="A20" s="13" t="s">
        <v>205</v>
      </c>
      <c r="B20" s="27" t="n">
        <f aca="false">Pessimista!BK14</f>
        <v>787.481474649057</v>
      </c>
      <c r="C20" s="27" t="n">
        <f aca="false">Realista!BK14</f>
        <v>6704.78403819031</v>
      </c>
      <c r="D20" s="27" t="n">
        <f aca="false">Otimista!BK14</f>
        <v>25283.7511306998</v>
      </c>
    </row>
    <row r="21" customFormat="false" ht="15" hidden="false" customHeight="false" outlineLevel="0" collapsed="false">
      <c r="A21" s="13" t="s">
        <v>206</v>
      </c>
      <c r="B21" s="32" t="str">
        <f aca="false">IFERROR(INDEX(Pessimista!D4:BK4,MATCH(TRUE(),INDEX(Pessimista!D35:BK35&gt;0,0),0)),"Nunca no período")</f>
        <v>Nunca no período</v>
      </c>
      <c r="C21" s="32" t="str">
        <f aca="false">IFERROR(INDEX(Realista!D4:BK4,MATCH(TRUE(),INDEX(Realista!D35:BK35&gt;0,0),0)),"Nunca no período")</f>
        <v>7</v>
      </c>
      <c r="D21" s="32" t="str">
        <f aca="false">IFERROR(INDEX(Otimista!D4:BK4,MATCH(TRUE(),INDEX(Otimista!D35:BK35&gt;0,0),0)),"Nunca no período")</f>
        <v>3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207</v>
      </c>
    </row>
    <row r="3" customFormat="false" ht="15" hidden="false" customHeight="false" outlineLevel="0" collapsed="false">
      <c r="A3" s="13" t="s">
        <v>208</v>
      </c>
    </row>
    <row r="4" customFormat="false" ht="60" hidden="false" customHeight="true" outlineLevel="0" collapsed="false">
      <c r="A4" s="4" t="s">
        <v>209</v>
      </c>
    </row>
    <row r="6" customFormat="false" ht="15" hidden="false" customHeight="false" outlineLevel="0" collapsed="false">
      <c r="A6" s="13" t="s">
        <v>210</v>
      </c>
    </row>
    <row r="7" customFormat="false" ht="75" hidden="false" customHeight="true" outlineLevel="0" collapsed="false">
      <c r="A7" s="4" t="s">
        <v>211</v>
      </c>
    </row>
    <row r="9" customFormat="false" ht="15" hidden="false" customHeight="false" outlineLevel="0" collapsed="false">
      <c r="A9" s="13" t="s">
        <v>212</v>
      </c>
    </row>
    <row r="10" customFormat="false" ht="75" hidden="false" customHeight="true" outlineLevel="0" collapsed="false">
      <c r="A10" s="4" t="s">
        <v>213</v>
      </c>
    </row>
    <row r="12" customFormat="false" ht="15" hidden="false" customHeight="false" outlineLevel="0" collapsed="false">
      <c r="A12" s="33" t="s">
        <v>214</v>
      </c>
    </row>
    <row r="13" customFormat="false" ht="90" hidden="false" customHeight="true" outlineLevel="0" collapsed="false">
      <c r="A13" s="4" t="s">
        <v>215</v>
      </c>
    </row>
    <row r="15" customFormat="false" ht="15" hidden="false" customHeight="false" outlineLevel="0" collapsed="false">
      <c r="A15" s="13" t="s">
        <v>216</v>
      </c>
    </row>
    <row r="16" customFormat="false" ht="135" hidden="false" customHeight="true" outlineLevel="0" collapsed="false">
      <c r="A16" s="4" t="s">
        <v>217</v>
      </c>
    </row>
    <row r="18" customFormat="false" ht="15" hidden="false" customHeight="false" outlineLevel="0" collapsed="false">
      <c r="A18" s="13" t="s">
        <v>218</v>
      </c>
    </row>
    <row r="19" customFormat="false" ht="45" hidden="false" customHeight="true" outlineLevel="0" collapsed="false">
      <c r="A19" s="4" t="s">
        <v>219</v>
      </c>
    </row>
    <row r="22" customFormat="false" ht="17.35" hidden="false" customHeight="false" outlineLevel="0" collapsed="false">
      <c r="A22" s="1" t="s">
        <v>220</v>
      </c>
    </row>
    <row r="23" customFormat="false" ht="15" hidden="false" customHeight="false" outlineLevel="0" collapsed="false">
      <c r="A23" s="13" t="s">
        <v>221</v>
      </c>
    </row>
    <row r="24" customFormat="false" ht="75" hidden="false" customHeight="true" outlineLevel="0" collapsed="false">
      <c r="A24" s="4" t="s">
        <v>222</v>
      </c>
    </row>
    <row r="26" customFormat="false" ht="15" hidden="false" customHeight="false" outlineLevel="0" collapsed="false">
      <c r="A26" s="13" t="s">
        <v>223</v>
      </c>
    </row>
    <row r="27" customFormat="false" ht="105" hidden="false" customHeight="true" outlineLevel="0" collapsed="false">
      <c r="A27" s="4" t="s">
        <v>224</v>
      </c>
    </row>
    <row r="29" customFormat="false" ht="15" hidden="false" customHeight="false" outlineLevel="0" collapsed="false">
      <c r="A29" s="13" t="s">
        <v>225</v>
      </c>
    </row>
    <row r="30" customFormat="false" ht="45" hidden="false" customHeight="true" outlineLevel="0" collapsed="false">
      <c r="A30" s="4" t="s">
        <v>226</v>
      </c>
    </row>
    <row r="32" customFormat="false" ht="15" hidden="false" customHeight="false" outlineLevel="0" collapsed="false">
      <c r="A32" s="33" t="s">
        <v>227</v>
      </c>
    </row>
    <row r="33" customFormat="false" ht="75" hidden="false" customHeight="true" outlineLevel="0" collapsed="false">
      <c r="A33" s="4" t="s">
        <v>228</v>
      </c>
    </row>
    <row r="35" customFormat="false" ht="15" hidden="false" customHeight="false" outlineLevel="0" collapsed="false">
      <c r="A35" s="13" t="s">
        <v>229</v>
      </c>
    </row>
    <row r="36" customFormat="false" ht="90" hidden="false" customHeight="true" outlineLevel="0" collapsed="false">
      <c r="A36" s="4" t="s">
        <v>230</v>
      </c>
    </row>
    <row r="38" customFormat="false" ht="15" hidden="false" customHeight="false" outlineLevel="0" collapsed="false">
      <c r="A38" s="13" t="s">
        <v>231</v>
      </c>
    </row>
    <row r="39" customFormat="false" ht="90" hidden="false" customHeight="true" outlineLevel="0" collapsed="false">
      <c r="A39" s="4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233</v>
      </c>
    </row>
    <row r="2" customFormat="false" ht="32.8" hidden="false" customHeight="false" outlineLevel="0" collapsed="false">
      <c r="A2" s="2" t="s">
        <v>234</v>
      </c>
    </row>
    <row r="4" customFormat="false" ht="15" hidden="false" customHeight="false" outlineLevel="0" collapsed="false">
      <c r="A4" s="13" t="s">
        <v>235</v>
      </c>
    </row>
    <row r="5" customFormat="false" ht="75" hidden="false" customHeight="true" outlineLevel="0" collapsed="false">
      <c r="A5" s="4" t="s">
        <v>236</v>
      </c>
    </row>
    <row r="7" customFormat="false" ht="15" hidden="false" customHeight="false" outlineLevel="0" collapsed="false">
      <c r="A7" s="13" t="s">
        <v>237</v>
      </c>
    </row>
    <row r="8" customFormat="false" ht="105" hidden="false" customHeight="true" outlineLevel="0" collapsed="false">
      <c r="A8" s="4" t="s">
        <v>238</v>
      </c>
    </row>
    <row r="10" customFormat="false" ht="15" hidden="false" customHeight="false" outlineLevel="0" collapsed="false">
      <c r="A10" s="13" t="s">
        <v>239</v>
      </c>
    </row>
    <row r="11" customFormat="false" ht="90" hidden="false" customHeight="true" outlineLevel="0" collapsed="false">
      <c r="A11" s="4" t="s">
        <v>240</v>
      </c>
    </row>
    <row r="13" customFormat="false" ht="15" hidden="false" customHeight="false" outlineLevel="0" collapsed="false">
      <c r="A13" s="13" t="s">
        <v>241</v>
      </c>
    </row>
    <row r="14" customFormat="false" ht="105" hidden="false" customHeight="true" outlineLevel="0" collapsed="false">
      <c r="A14" s="4" t="s">
        <v>242</v>
      </c>
    </row>
    <row r="16" customFormat="false" ht="15" hidden="false" customHeight="false" outlineLevel="0" collapsed="false">
      <c r="A16" s="13" t="s">
        <v>243</v>
      </c>
    </row>
    <row r="17" customFormat="false" ht="120" hidden="false" customHeight="true" outlineLevel="0" collapsed="false">
      <c r="A17" s="4" t="s">
        <v>244</v>
      </c>
    </row>
    <row r="19" customFormat="false" ht="15" hidden="false" customHeight="false" outlineLevel="0" collapsed="false">
      <c r="A19" s="13" t="s">
        <v>245</v>
      </c>
    </row>
    <row r="20" customFormat="false" ht="120" hidden="false" customHeight="true" outlineLevel="0" collapsed="false">
      <c r="A20" s="4" t="s">
        <v>246</v>
      </c>
    </row>
    <row r="22" customFormat="false" ht="15" hidden="false" customHeight="false" outlineLevel="0" collapsed="false">
      <c r="A22" s="13" t="s">
        <v>247</v>
      </c>
    </row>
    <row r="23" customFormat="false" ht="75" hidden="false" customHeight="true" outlineLevel="0" collapsed="false">
      <c r="A23" s="4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2026-08-10T11:51:42Z</dcterms:created>
  <dc:creator>openpyxl</dc:creator>
  <dc:description/>
  <dc:language>pt-BR</dc:language>
  <cp:lastModifiedBy/>
  <dcterms:modified xsi:type="dcterms:W3CDTF">2026-08-10T11:51:42Z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